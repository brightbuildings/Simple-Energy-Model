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charts/chart4.xml" ContentType="application/vnd.openxmlformats-officedocument.drawingml.chart+xml"/>
  <Override PartName="/xl/theme/themeOverride4.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micha\Downloads\"/>
    </mc:Choice>
  </mc:AlternateContent>
  <xr:revisionPtr revIDLastSave="0" documentId="13_ncr:1_{00FAF308-BEF6-4B8F-A800-8700DEE7EB79}" xr6:coauthVersionLast="47" xr6:coauthVersionMax="47" xr10:uidLastSave="{00000000-0000-0000-0000-000000000000}"/>
  <bookViews>
    <workbookView xWindow="-98" yWindow="-98" windowWidth="22695" windowHeight="14595" tabRatio="305" xr2:uid="{B78CEF96-668F-4BCC-8D36-1A604305CA24}"/>
  </bookViews>
  <sheets>
    <sheet name="bb" sheetId="1" r:id="rId1"/>
  </sheets>
  <functionGroups builtInGroupCount="19"/>
  <definedNames>
    <definedName name="depthbelow">bb!$C$64</definedName>
    <definedName name="financing">bb!$BD$204</definedName>
    <definedName name="floorarea">bb!$C$71</definedName>
    <definedName name="glossary">bb!$A$257</definedName>
    <definedName name="heightabove">bb!$C$63</definedName>
    <definedName name="heightbelow">bb!$C$64</definedName>
    <definedName name="input">bb!$A$82</definedName>
    <definedName name="length">bb!$C$61</definedName>
    <definedName name="modelB">bb!$T$89</definedName>
    <definedName name="netzero">bb!$A$200</definedName>
    <definedName name="notes">bb!$A$319</definedName>
    <definedName name="occupants">bb!$C$67</definedName>
    <definedName name="output">bb!$A$172</definedName>
    <definedName name="parameters">bb!$A$117</definedName>
    <definedName name="_xlnm.Print_Area" localSheetId="0">bb!$A$2:$T$228</definedName>
    <definedName name="roofarea">bb!$C$70</definedName>
    <definedName name="solararea">bb!$C$73</definedName>
    <definedName name="tfa">bb!$C$66</definedName>
    <definedName name="top">bb!$A$2</definedName>
    <definedName name="units">bb!$C$68</definedName>
    <definedName name="volume">bb!$C$83</definedName>
    <definedName name="width">bb!$C$62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73" i="1" l="1"/>
  <c r="C66" i="1"/>
  <c r="C64" i="1"/>
  <c r="C63" i="1"/>
  <c r="C62" i="1"/>
  <c r="C61" i="1"/>
  <c r="S216" i="1"/>
  <c r="AX206" i="1"/>
  <c r="AX207" i="1"/>
  <c r="N213" i="1"/>
  <c r="S101" i="1" l="1"/>
  <c r="AX208" i="1"/>
  <c r="AX209" i="1"/>
  <c r="AX210" i="1"/>
  <c r="BB210" i="1" s="1"/>
  <c r="AX211" i="1"/>
  <c r="AX212" i="1"/>
  <c r="AX213" i="1"/>
  <c r="AX214" i="1"/>
  <c r="BB214" i="1" s="1"/>
  <c r="AX215" i="1"/>
  <c r="AX216" i="1"/>
  <c r="BB216" i="1" s="1"/>
  <c r="AX217" i="1"/>
  <c r="BB206" i="1"/>
  <c r="AY207" i="1"/>
  <c r="BA207" i="1"/>
  <c r="BB207" i="1"/>
  <c r="BC207" i="1"/>
  <c r="AY208" i="1"/>
  <c r="AY209" i="1"/>
  <c r="AY210" i="1"/>
  <c r="AY211" i="1"/>
  <c r="AY212" i="1"/>
  <c r="BC212" i="1" s="1"/>
  <c r="BA212" i="1"/>
  <c r="BB212" i="1"/>
  <c r="AY213" i="1"/>
  <c r="AY214" i="1"/>
  <c r="AY215" i="1"/>
  <c r="AY216" i="1"/>
  <c r="AY217" i="1"/>
  <c r="AY206" i="1"/>
  <c r="L216" i="1"/>
  <c r="BA209" i="1" l="1"/>
  <c r="BA208" i="1"/>
  <c r="BA215" i="1"/>
  <c r="BC211" i="1"/>
  <c r="BC215" i="1"/>
  <c r="BA214" i="1"/>
  <c r="BA211" i="1"/>
  <c r="BB215" i="1"/>
  <c r="BA213" i="1"/>
  <c r="BA217" i="1"/>
  <c r="BB211" i="1"/>
  <c r="BA206" i="1"/>
  <c r="BC213" i="1"/>
  <c r="BB213" i="1"/>
  <c r="BC214" i="1"/>
  <c r="BA210" i="1"/>
  <c r="BC216" i="1"/>
  <c r="BC208" i="1"/>
  <c r="BB208" i="1"/>
  <c r="BB217" i="1"/>
  <c r="BA216" i="1"/>
  <c r="BC210" i="1"/>
  <c r="BB209" i="1"/>
  <c r="BC217" i="1"/>
  <c r="BC209" i="1"/>
  <c r="BC206" i="1"/>
  <c r="B4" i="1" l="1"/>
  <c r="S92" i="1"/>
  <c r="N206" i="1" l="1"/>
  <c r="C87" i="1"/>
  <c r="BA87" i="1" s="1"/>
  <c r="M130" i="1" l="1"/>
  <c r="D128" i="1"/>
  <c r="M128" i="1"/>
  <c r="V200" i="1"/>
  <c r="BH137" i="1" l="1"/>
  <c r="BH87" i="1"/>
  <c r="AY146" i="1"/>
  <c r="M127" i="1" l="1"/>
  <c r="AS72" i="1"/>
  <c r="AP58" i="1" l="1"/>
  <c r="AL58" i="1"/>
  <c r="BF137" i="1"/>
  <c r="BF87" i="1"/>
  <c r="AK104" i="1"/>
  <c r="C83" i="1"/>
  <c r="BF112" i="1" l="1"/>
  <c r="BF110" i="1"/>
  <c r="BF111" i="1"/>
  <c r="BF62" i="1"/>
  <c r="M93" i="1"/>
  <c r="BF60" i="1" l="1"/>
  <c r="BE87" i="1" s="1"/>
  <c r="BE137" i="1"/>
  <c r="T323" i="1"/>
  <c r="AR119" i="1" l="1"/>
  <c r="D129" i="1" s="1"/>
  <c r="AR120" i="1"/>
  <c r="AR121" i="1"/>
  <c r="M129" i="1" s="1"/>
  <c r="AP72" i="1"/>
  <c r="AM72" i="1"/>
  <c r="AJ72" i="1"/>
  <c r="M131" i="1"/>
  <c r="D131" i="1"/>
  <c r="AK164" i="1"/>
  <c r="AK178" i="1"/>
  <c r="C145" i="1"/>
  <c r="AK158" i="1"/>
  <c r="BB190" i="1"/>
  <c r="N212" i="1"/>
  <c r="N214" i="1"/>
  <c r="BB189" i="1" l="1"/>
  <c r="C71" i="1"/>
  <c r="C70" i="1"/>
  <c r="L219" i="1" s="1"/>
  <c r="P214" i="1"/>
  <c r="BD214" i="1" s="1"/>
  <c r="BE214" i="1" s="1"/>
  <c r="P212" i="1"/>
  <c r="BD212" i="1" s="1"/>
  <c r="BE212" i="1" s="1"/>
  <c r="Q184" i="1"/>
  <c r="N209" i="1" l="1"/>
  <c r="B28" i="1"/>
  <c r="BB188" i="1"/>
  <c r="H184" i="1"/>
  <c r="BK118" i="1"/>
  <c r="BK68" i="1"/>
  <c r="AZ122" i="1"/>
  <c r="AZ119" i="1"/>
  <c r="AZ72" i="1"/>
  <c r="AZ69" i="1"/>
  <c r="S94" i="1" s="1"/>
  <c r="AZ71" i="1"/>
  <c r="S96" i="1" s="1"/>
  <c r="BI137" i="1"/>
  <c r="D134" i="1"/>
  <c r="M134" i="1"/>
  <c r="L157" i="1" s="1"/>
  <c r="M137" i="1"/>
  <c r="M136" i="1"/>
  <c r="M135" i="1"/>
  <c r="BF109" i="1"/>
  <c r="BE136" i="1" s="1"/>
  <c r="M100" i="1"/>
  <c r="AZ128" i="1" s="1"/>
  <c r="M99" i="1"/>
  <c r="P99" i="1" s="1"/>
  <c r="Q99" i="1" s="1"/>
  <c r="M96" i="1"/>
  <c r="P96" i="1" s="1"/>
  <c r="Q96" i="1" s="1"/>
  <c r="M94" i="1"/>
  <c r="P94" i="1" s="1"/>
  <c r="Q94" i="1" s="1"/>
  <c r="P93" i="1"/>
  <c r="Q93" i="1" s="1"/>
  <c r="AY149" i="1"/>
  <c r="AY148" i="1"/>
  <c r="AY147" i="1"/>
  <c r="BC128" i="1"/>
  <c r="BC129" i="1" s="1"/>
  <c r="BC130" i="1" s="1"/>
  <c r="BB121" i="1"/>
  <c r="BB119" i="1"/>
  <c r="BB112" i="1"/>
  <c r="BB113" i="1" s="1"/>
  <c r="BB109" i="1"/>
  <c r="BG118" i="1" s="1"/>
  <c r="BF108" i="1"/>
  <c r="BB108" i="1"/>
  <c r="BB120" i="1" s="1"/>
  <c r="BC78" i="1"/>
  <c r="BC79" i="1" s="1"/>
  <c r="BC80" i="1" s="1"/>
  <c r="AY97" i="1"/>
  <c r="AY98" i="1"/>
  <c r="AY99" i="1"/>
  <c r="AY96" i="1"/>
  <c r="D137" i="1"/>
  <c r="D136" i="1"/>
  <c r="D135" i="1"/>
  <c r="AY137" i="1" l="1"/>
  <c r="N208" i="1"/>
  <c r="M112" i="1"/>
  <c r="BB187" i="1"/>
  <c r="BA130" i="1"/>
  <c r="BA149" i="1" s="1"/>
  <c r="BA128" i="1"/>
  <c r="BB128" i="1" s="1"/>
  <c r="BM118" i="1"/>
  <c r="L158" i="1"/>
  <c r="BG122" i="1"/>
  <c r="C158" i="1"/>
  <c r="AY130" i="1"/>
  <c r="AZ130" i="1"/>
  <c r="AY127" i="1"/>
  <c r="AZ127" i="1"/>
  <c r="AY119" i="1"/>
  <c r="AZ137" i="1" s="1"/>
  <c r="BG120" i="1"/>
  <c r="AY129" i="1"/>
  <c r="AZ129" i="1"/>
  <c r="AY128" i="1"/>
  <c r="BI111" i="1"/>
  <c r="BD118" i="1" s="1"/>
  <c r="AY121" i="1"/>
  <c r="AZ139" i="1" s="1"/>
  <c r="AY118" i="1"/>
  <c r="AZ136" i="1" s="1"/>
  <c r="BI110" i="1"/>
  <c r="AZ70" i="1"/>
  <c r="S95" i="1" s="1"/>
  <c r="AZ121" i="1"/>
  <c r="BG96" i="1"/>
  <c r="BI62" i="1"/>
  <c r="BF136" i="1"/>
  <c r="BG146" i="1"/>
  <c r="BH146" i="1" s="1"/>
  <c r="N109" i="1" s="1"/>
  <c r="BI112" i="1"/>
  <c r="BE118" i="1" s="1"/>
  <c r="BL118" i="1"/>
  <c r="BM68" i="1"/>
  <c r="AZ120" i="1"/>
  <c r="BL68" i="1"/>
  <c r="BB118" i="1"/>
  <c r="BB122" i="1"/>
  <c r="C146" i="1"/>
  <c r="D130" i="1"/>
  <c r="D127" i="1"/>
  <c r="D100" i="1"/>
  <c r="D99" i="1"/>
  <c r="D96" i="1"/>
  <c r="G96" i="1" s="1"/>
  <c r="H96" i="1" s="1"/>
  <c r="D94" i="1"/>
  <c r="G94" i="1" s="1"/>
  <c r="H94" i="1" s="1"/>
  <c r="D93" i="1"/>
  <c r="G93" i="1" s="1"/>
  <c r="H93" i="1" s="1"/>
  <c r="AO97" i="1"/>
  <c r="M101" i="1" s="1"/>
  <c r="AQ78" i="1"/>
  <c r="AQ77" i="1"/>
  <c r="AQ76" i="1"/>
  <c r="AQ74" i="1"/>
  <c r="AQ73" i="1"/>
  <c r="AY138" i="1" l="1"/>
  <c r="AY139" i="1"/>
  <c r="N210" i="1"/>
  <c r="AY140" i="1"/>
  <c r="C157" i="1"/>
  <c r="D95" i="1"/>
  <c r="G95" i="1" s="1"/>
  <c r="H95" i="1" s="1"/>
  <c r="BB186" i="1"/>
  <c r="O181" i="1"/>
  <c r="O184" i="1" s="1"/>
  <c r="P182" i="1"/>
  <c r="P184" i="1" s="1"/>
  <c r="G182" i="1"/>
  <c r="G184" i="1" s="1"/>
  <c r="M95" i="1"/>
  <c r="AY120" i="1" s="1"/>
  <c r="BA147" i="1"/>
  <c r="BB130" i="1"/>
  <c r="AZ68" i="1"/>
  <c r="S93" i="1" s="1"/>
  <c r="P210" i="1"/>
  <c r="BD210" i="1" s="1"/>
  <c r="BA127" i="1"/>
  <c r="BA146" i="1" s="1"/>
  <c r="BC119" i="1"/>
  <c r="BH119" i="1"/>
  <c r="AZ118" i="1"/>
  <c r="BA129" i="1"/>
  <c r="P158" i="1"/>
  <c r="BI118" i="1"/>
  <c r="P157" i="1"/>
  <c r="S158" i="1"/>
  <c r="D101" i="1"/>
  <c r="P101" i="1"/>
  <c r="Q101" i="1" s="1"/>
  <c r="AY122" i="1"/>
  <c r="AZ140" i="1" s="1"/>
  <c r="BH121" i="1"/>
  <c r="BC121" i="1"/>
  <c r="BJ118" i="1"/>
  <c r="AY77" i="1"/>
  <c r="AZ149" i="1"/>
  <c r="BC149" i="1" s="1"/>
  <c r="AZ146" i="1"/>
  <c r="BG214" i="1" l="1"/>
  <c r="BF214" i="1"/>
  <c r="R214" i="1" s="1"/>
  <c r="BE210" i="1"/>
  <c r="BC118" i="1"/>
  <c r="N207" i="1"/>
  <c r="P207" i="1" s="1"/>
  <c r="BD207" i="1" s="1"/>
  <c r="P209" i="1"/>
  <c r="BD209" i="1" s="1"/>
  <c r="BE209" i="1" s="1"/>
  <c r="BC146" i="1"/>
  <c r="BG127" i="1"/>
  <c r="BB185" i="1"/>
  <c r="P213" i="1"/>
  <c r="BD213" i="1" s="1"/>
  <c r="BE213" i="1" s="1"/>
  <c r="P95" i="1"/>
  <c r="Q95" i="1" s="1"/>
  <c r="P206" i="1"/>
  <c r="BD206" i="1" s="1"/>
  <c r="BE206" i="1" s="1"/>
  <c r="BA148" i="1"/>
  <c r="BB129" i="1"/>
  <c r="BJ129" i="1" s="1"/>
  <c r="BC122" i="1"/>
  <c r="BH122" i="1"/>
  <c r="AZ138" i="1"/>
  <c r="BC120" i="1"/>
  <c r="BH120" i="1"/>
  <c r="F181" i="1"/>
  <c r="F184" i="1" s="1"/>
  <c r="S157" i="1"/>
  <c r="AZ141" i="1"/>
  <c r="AZ147" i="1"/>
  <c r="BC147" i="1" s="1"/>
  <c r="BJ128" i="1"/>
  <c r="BI129" i="1"/>
  <c r="BG129" i="1"/>
  <c r="BJ130" i="1"/>
  <c r="AZ148" i="1"/>
  <c r="BG130" i="1"/>
  <c r="BI130" i="1"/>
  <c r="BI128" i="1"/>
  <c r="BG128" i="1"/>
  <c r="G101" i="1"/>
  <c r="H101" i="1" s="1"/>
  <c r="BE207" i="1" l="1"/>
  <c r="BB184" i="1"/>
  <c r="BC148" i="1"/>
  <c r="BK130" i="1"/>
  <c r="BK129" i="1"/>
  <c r="BK128" i="1"/>
  <c r="BB71" i="1"/>
  <c r="AY72" i="1"/>
  <c r="BB183" i="1" l="1"/>
  <c r="AZ90" i="1"/>
  <c r="AY90" i="1"/>
  <c r="BB182" i="1" l="1"/>
  <c r="BB181" i="1" s="1"/>
  <c r="BB69" i="1"/>
  <c r="BI87" i="1"/>
  <c r="D112" i="1" s="1"/>
  <c r="BF61" i="1"/>
  <c r="BI61" i="1" s="1"/>
  <c r="BB59" i="1"/>
  <c r="BB62" i="1"/>
  <c r="BB63" i="1" s="1"/>
  <c r="BF58" i="1"/>
  <c r="BB58" i="1"/>
  <c r="AZ78" i="1"/>
  <c r="AZ97" i="1" s="1"/>
  <c r="BF59" i="1"/>
  <c r="BE86" i="1" s="1"/>
  <c r="E145" i="1" l="1"/>
  <c r="F145" i="1" s="1"/>
  <c r="E142" i="1"/>
  <c r="F142" i="1" s="1"/>
  <c r="C166" i="1" s="1"/>
  <c r="E146" i="1"/>
  <c r="F146" i="1" s="1"/>
  <c r="E143" i="1"/>
  <c r="F143" i="1" s="1"/>
  <c r="E147" i="1"/>
  <c r="F147" i="1" s="1"/>
  <c r="E144" i="1"/>
  <c r="BG68" i="1"/>
  <c r="BG70" i="1"/>
  <c r="BG72" i="1"/>
  <c r="BH72" i="1" s="1"/>
  <c r="BI60" i="1"/>
  <c r="AY78" i="1"/>
  <c r="G99" i="1"/>
  <c r="H99" i="1" s="1"/>
  <c r="G157" i="1"/>
  <c r="BB68" i="1"/>
  <c r="BB70" i="1"/>
  <c r="BB72" i="1"/>
  <c r="BC72" i="1" s="1"/>
  <c r="AY68" i="1"/>
  <c r="AZ86" i="1" s="1"/>
  <c r="AZ77" i="1"/>
  <c r="AZ96" i="1" s="1"/>
  <c r="AZ80" i="1"/>
  <c r="AZ99" i="1" s="1"/>
  <c r="AZ79" i="1"/>
  <c r="AZ98" i="1" s="1"/>
  <c r="AY80" i="1"/>
  <c r="AY79" i="1"/>
  <c r="AY71" i="1"/>
  <c r="AY69" i="1"/>
  <c r="AZ87" i="1" s="1"/>
  <c r="L165" i="1" l="1"/>
  <c r="L166" i="1"/>
  <c r="S166" i="1" s="1"/>
  <c r="AZ89" i="1"/>
  <c r="AZ91" i="1"/>
  <c r="G158" i="1"/>
  <c r="AY70" i="1"/>
  <c r="AZ88" i="1" s="1"/>
  <c r="AK170" i="1" l="1"/>
  <c r="AK161" i="1"/>
  <c r="AK162" i="1" s="1"/>
  <c r="AK165" i="1" s="1"/>
  <c r="AK172" i="1" l="1"/>
  <c r="C144" i="1"/>
  <c r="F144" i="1" s="1"/>
  <c r="AY87" i="1"/>
  <c r="C165" i="1" l="1"/>
  <c r="S165" i="1" s="1"/>
  <c r="AY89" i="1"/>
  <c r="BH71" i="1"/>
  <c r="AY88" i="1"/>
  <c r="BH96" i="1"/>
  <c r="E109" i="1" s="1"/>
  <c r="BF86" i="1"/>
  <c r="BC71" i="1"/>
  <c r="BE68" i="1"/>
  <c r="BI68" i="1"/>
  <c r="BD68" i="1"/>
  <c r="BC69" i="1"/>
  <c r="BH69" i="1"/>
  <c r="BC70" i="1" l="1"/>
  <c r="BH70" i="1"/>
  <c r="BJ68" i="1"/>
  <c r="BA80" i="1"/>
  <c r="BA78" i="1"/>
  <c r="BA79" i="1"/>
  <c r="BA77" i="1"/>
  <c r="BB77" i="1" s="1"/>
  <c r="BA98" i="1" l="1"/>
  <c r="BC98" i="1" s="1"/>
  <c r="BB79" i="1"/>
  <c r="BJ79" i="1" s="1"/>
  <c r="BA97" i="1"/>
  <c r="BC97" i="1" s="1"/>
  <c r="BB78" i="1"/>
  <c r="BJ78" i="1" s="1"/>
  <c r="BA139" i="1"/>
  <c r="BB139" i="1" s="1"/>
  <c r="M114" i="1" s="1"/>
  <c r="BH136" i="1"/>
  <c r="BI136" i="1" s="1"/>
  <c r="M111" i="1" s="1"/>
  <c r="BA91" i="1"/>
  <c r="BA140" i="1"/>
  <c r="BB140" i="1" s="1"/>
  <c r="BA137" i="1"/>
  <c r="BB137" i="1" s="1"/>
  <c r="M116" i="1" s="1"/>
  <c r="BA141" i="1"/>
  <c r="BA136" i="1"/>
  <c r="BH86" i="1"/>
  <c r="BA90" i="1"/>
  <c r="BB90" i="1" s="1"/>
  <c r="BA138" i="1"/>
  <c r="BB138" i="1" s="1"/>
  <c r="M115" i="1" s="1"/>
  <c r="BA86" i="1"/>
  <c r="BA89" i="1"/>
  <c r="BB89" i="1" s="1"/>
  <c r="BA88" i="1"/>
  <c r="BB88" i="1" s="1"/>
  <c r="BA99" i="1"/>
  <c r="BC99" i="1" s="1"/>
  <c r="BB80" i="1"/>
  <c r="BJ80" i="1" s="1"/>
  <c r="BA96" i="1"/>
  <c r="BC96" i="1" s="1"/>
  <c r="AY91" i="1"/>
  <c r="S99" i="1" s="1"/>
  <c r="AY86" i="1"/>
  <c r="BC68" i="1"/>
  <c r="BH68" i="1"/>
  <c r="BJ77" i="1"/>
  <c r="BG77" i="1"/>
  <c r="BI77" i="1"/>
  <c r="BI79" i="1"/>
  <c r="BG79" i="1"/>
  <c r="BG80" i="1"/>
  <c r="BI80" i="1"/>
  <c r="BG78" i="1"/>
  <c r="BI78" i="1"/>
  <c r="BF209" i="1" l="1"/>
  <c r="BG210" i="1"/>
  <c r="BF210" i="1"/>
  <c r="R210" i="1" s="1"/>
  <c r="R209" i="1"/>
  <c r="BG209" i="1"/>
  <c r="BI86" i="1"/>
  <c r="BE73" i="1"/>
  <c r="C151" i="1" s="1"/>
  <c r="G151" i="1" s="1"/>
  <c r="D115" i="1"/>
  <c r="D114" i="1"/>
  <c r="BC100" i="1"/>
  <c r="BB86" i="1"/>
  <c r="BB87" i="1"/>
  <c r="BB91" i="1"/>
  <c r="BK79" i="1"/>
  <c r="BK80" i="1"/>
  <c r="BK78" i="1"/>
  <c r="BK77" i="1"/>
  <c r="BF208" i="1" l="1"/>
  <c r="BG208" i="1"/>
  <c r="BG212" i="1"/>
  <c r="BF212" i="1"/>
  <c r="R212" i="1" s="1"/>
  <c r="D111" i="1"/>
  <c r="D117" i="1"/>
  <c r="BF98" i="1"/>
  <c r="E110" i="1"/>
  <c r="D113" i="1"/>
  <c r="D116" i="1"/>
  <c r="BB92" i="1"/>
  <c r="BE88" i="1" s="1"/>
  <c r="BM73" i="1"/>
  <c r="C152" i="1" s="1"/>
  <c r="E108" i="1" l="1"/>
  <c r="AY102" i="1"/>
  <c r="AY103" i="1" l="1"/>
  <c r="C161" i="1" s="1"/>
  <c r="C156" i="1"/>
  <c r="C164" i="1" s="1"/>
  <c r="G152" i="1"/>
  <c r="C167" i="1" l="1"/>
  <c r="E180" i="1"/>
  <c r="E184" i="1" s="1"/>
  <c r="D185" i="1" s="1"/>
  <c r="U200" i="1" s="1"/>
  <c r="G156" i="1"/>
  <c r="C159" i="1"/>
  <c r="AY136" i="1"/>
  <c r="BH118" i="1"/>
  <c r="BB127" i="1"/>
  <c r="BJ127" i="1" s="1"/>
  <c r="AY141" i="1"/>
  <c r="BC150" i="1"/>
  <c r="N110" i="1" s="1"/>
  <c r="BI127" i="1"/>
  <c r="BE123" i="1"/>
  <c r="L151" i="1" s="1"/>
  <c r="T196" i="1" a="1"/>
  <c r="T195" i="1" a="1"/>
  <c r="BB141" i="1" l="1"/>
  <c r="N211" i="1"/>
  <c r="P211" i="1" s="1"/>
  <c r="BD211" i="1" s="1"/>
  <c r="BE211" i="1" s="1"/>
  <c r="BB136" i="1"/>
  <c r="P208" i="1"/>
  <c r="BD208" i="1" s="1"/>
  <c r="T196" i="1"/>
  <c r="T195" i="1"/>
  <c r="C185" i="1"/>
  <c r="G159" i="1"/>
  <c r="BF148" i="1"/>
  <c r="P151" i="1"/>
  <c r="S151" i="1"/>
  <c r="BK127" i="1"/>
  <c r="BM123" i="1" s="1"/>
  <c r="BG207" i="1" l="1"/>
  <c r="BF207" i="1"/>
  <c r="R207" i="1" s="1"/>
  <c r="BF211" i="1"/>
  <c r="R211" i="1" s="1"/>
  <c r="BG211" i="1"/>
  <c r="M117" i="1"/>
  <c r="BE208" i="1"/>
  <c r="R208" i="1" s="1"/>
  <c r="M113" i="1"/>
  <c r="BB142" i="1"/>
  <c r="BE138" i="1" s="1"/>
  <c r="AY152" i="1" s="1"/>
  <c r="L152" i="1"/>
  <c r="P152" i="1" s="1"/>
  <c r="N108" i="1" l="1"/>
  <c r="S152" i="1"/>
  <c r="AY153" i="1"/>
  <c r="L161" i="1" s="1"/>
  <c r="L156" i="1"/>
  <c r="L164" i="1" s="1"/>
  <c r="S164" i="1" s="1"/>
  <c r="BF213" i="1" l="1"/>
  <c r="R213" i="1" s="1"/>
  <c r="BG213" i="1"/>
  <c r="S161" i="1"/>
  <c r="L159" i="1"/>
  <c r="P156" i="1"/>
  <c r="S156" i="1"/>
  <c r="N180" i="1"/>
  <c r="N184" i="1" s="1"/>
  <c r="M185" i="1" s="1"/>
  <c r="L167" i="1"/>
  <c r="S167" i="1" s="1"/>
  <c r="BF216" i="1" l="1"/>
  <c r="BG216" i="1"/>
  <c r="BG206" i="1"/>
  <c r="BF206" i="1"/>
  <c r="N216" i="1"/>
  <c r="P216" i="1" s="1"/>
  <c r="BD216" i="1" s="1"/>
  <c r="P217" i="1"/>
  <c r="BD217" i="1" s="1"/>
  <c r="BE217" i="1" s="1"/>
  <c r="R217" i="1" s="1"/>
  <c r="I216" i="1"/>
  <c r="S159" i="1"/>
  <c r="P159" i="1"/>
  <c r="L185" i="1"/>
  <c r="P215" i="1"/>
  <c r="BD215" i="1" s="1"/>
  <c r="BE215" i="1" s="1"/>
  <c r="R215" i="1" s="1"/>
  <c r="L224" i="1" l="1"/>
  <c r="AY185" i="1" s="1"/>
  <c r="BA185" i="1" s="1"/>
  <c r="K216" i="1"/>
  <c r="BE216" i="1"/>
  <c r="R216" i="1" s="1"/>
  <c r="R206" i="1"/>
  <c r="P219" i="1"/>
  <c r="K224" i="1" s="1"/>
  <c r="M228" i="1" s="1"/>
  <c r="AY187" i="1" l="1"/>
  <c r="BA187" i="1" s="1"/>
  <c r="AY201" i="1"/>
  <c r="BA201" i="1" s="1"/>
  <c r="AY189" i="1"/>
  <c r="BA189" i="1" s="1"/>
  <c r="AY194" i="1"/>
  <c r="BA194" i="1" s="1"/>
  <c r="AY200" i="1"/>
  <c r="BA200" i="1" s="1"/>
  <c r="AY184" i="1"/>
  <c r="BA184" i="1" s="1"/>
  <c r="AY186" i="1"/>
  <c r="BA186" i="1" s="1"/>
  <c r="AY196" i="1"/>
  <c r="BA196" i="1" s="1"/>
  <c r="AY195" i="1"/>
  <c r="BA195" i="1" s="1"/>
  <c r="AY197" i="1"/>
  <c r="BA197" i="1" s="1"/>
  <c r="AY199" i="1"/>
  <c r="BA199" i="1" s="1"/>
  <c r="AY190" i="1"/>
  <c r="BA190" i="1" s="1"/>
  <c r="AY192" i="1"/>
  <c r="BA192" i="1" s="1"/>
  <c r="N228" i="1"/>
  <c r="O228" i="1" s="1"/>
  <c r="AY183" i="1"/>
  <c r="BA183" i="1" s="1"/>
  <c r="AY193" i="1"/>
  <c r="BA193" i="1" s="1"/>
  <c r="AY198" i="1"/>
  <c r="BA198" i="1" s="1"/>
  <c r="AY191" i="1"/>
  <c r="BA191" i="1" s="1"/>
  <c r="AY202" i="1"/>
  <c r="BA202" i="1" s="1"/>
  <c r="AY188" i="1"/>
  <c r="BA188" i="1" s="1"/>
  <c r="AY182" i="1"/>
  <c r="BA182" i="1" s="1"/>
  <c r="M224" i="1"/>
  <c r="N224" i="1" l="1"/>
  <c r="BC183" i="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O22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Nemeth</author>
  </authors>
  <commentList>
    <comment ref="B66" authorId="0" shapeId="0" xr:uid="{E4975B1F-B4BF-4C89-9A39-B7274D8CCBF8}">
      <text>
        <r>
          <rPr>
            <sz val="9"/>
            <color indexed="81"/>
            <rFont val="Tahoma"/>
            <family val="2"/>
          </rPr>
          <t>Interior Floor Area including basement.</t>
        </r>
      </text>
    </comment>
    <comment ref="D90" authorId="0" shapeId="0" xr:uid="{B1AE9545-F33B-480F-B13D-ADC5296A619D}">
      <text>
        <r>
          <rPr>
            <b/>
            <sz val="9"/>
            <color indexed="81"/>
            <rFont val="Tahoma"/>
            <family val="2"/>
          </rPr>
          <t>Michael Nemeth:</t>
        </r>
        <r>
          <rPr>
            <sz val="9"/>
            <color indexed="81"/>
            <rFont val="Tahoma"/>
            <family val="2"/>
          </rPr>
          <t xml:space="preserve">
Air Changes per Hour during a blower door test.</t>
        </r>
      </text>
    </comment>
    <comment ref="M90" authorId="0" shapeId="0" xr:uid="{50C2B26F-ADEA-4C1A-B474-7A2B861E9300}">
      <text>
        <r>
          <rPr>
            <b/>
            <sz val="9"/>
            <color indexed="81"/>
            <rFont val="Tahoma"/>
            <family val="2"/>
          </rPr>
          <t>Michael Nemeth:</t>
        </r>
        <r>
          <rPr>
            <sz val="9"/>
            <color indexed="81"/>
            <rFont val="Tahoma"/>
            <family val="2"/>
          </rPr>
          <t xml:space="preserve">
Air Changes per Hour during a blower door test.</t>
        </r>
      </text>
    </comment>
    <comment ref="D143" authorId="0" shapeId="0" xr:uid="{059706DB-0565-40E2-A720-8201D70B5FC0}">
      <text>
        <r>
          <rPr>
            <b/>
            <sz val="9"/>
            <color indexed="81"/>
            <rFont val="Tahoma"/>
            <family val="2"/>
          </rPr>
          <t>Michael Nemeth:</t>
        </r>
        <r>
          <rPr>
            <sz val="9"/>
            <color indexed="81"/>
            <rFont val="Tahoma"/>
            <family val="2"/>
          </rPr>
          <t xml:space="preserve">
0.063 kg/kWh embodied carbon</t>
        </r>
      </text>
    </comment>
    <comment ref="B145" authorId="0" shapeId="0" xr:uid="{FC909C8C-609D-4094-8311-1C2324305FFD}">
      <text>
        <r>
          <rPr>
            <b/>
            <sz val="9"/>
            <color indexed="81"/>
            <rFont val="Tahoma"/>
            <family val="2"/>
          </rPr>
          <t>Michael Nemeth:</t>
        </r>
        <r>
          <rPr>
            <sz val="9"/>
            <color indexed="81"/>
            <rFont val="Tahoma"/>
            <family val="2"/>
          </rPr>
          <t xml:space="preserve">
Hypothetical</t>
        </r>
      </text>
    </comment>
    <comment ref="Q216" authorId="0" shapeId="0" xr:uid="{55EBB703-BF03-40A2-B2A3-36211635AE17}">
      <text>
        <r>
          <rPr>
            <b/>
            <sz val="9"/>
            <color indexed="81"/>
            <rFont val="Tahoma"/>
            <family val="2"/>
          </rPr>
          <t>Michael Nemeth:</t>
        </r>
        <r>
          <rPr>
            <sz val="9"/>
            <color indexed="81"/>
            <rFont val="Tahoma"/>
            <family val="2"/>
          </rPr>
          <t xml:space="preserve">
percentage covered by solar</t>
        </r>
      </text>
    </comment>
    <comment ref="N223" authorId="0" shapeId="0" xr:uid="{873A1B13-A8BC-4278-A76F-710B0044A989}">
      <text>
        <r>
          <rPr>
            <b/>
            <sz val="9"/>
            <color indexed="81"/>
            <rFont val="Tahoma"/>
            <family val="2"/>
          </rPr>
          <t>Michael Nemeth:</t>
        </r>
        <r>
          <rPr>
            <sz val="9"/>
            <color indexed="81"/>
            <rFont val="Tahoma"/>
            <family val="2"/>
          </rPr>
          <t xml:space="preserve">
Internal Rate of Return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<sst xmlns="http://schemas.openxmlformats.org/spreadsheetml/2006/main" count="1036" uniqueCount="506">
  <si>
    <t>Notes &gt;</t>
  </si>
  <si>
    <t>Parameters &gt;</t>
  </si>
  <si>
    <t>Calculations &gt;</t>
  </si>
  <si>
    <t>Scroll down for Model B parameters.</t>
  </si>
  <si>
    <t>Purpose:</t>
  </si>
  <si>
    <t>Gather information for the building you would like to assess. This will include:</t>
  </si>
  <si>
    <r>
      <t xml:space="preserve">1. </t>
    </r>
    <r>
      <rPr>
        <b/>
        <sz val="11"/>
        <color theme="1"/>
        <rFont val="Tw Cen MT"/>
        <family val="2"/>
      </rPr>
      <t>Dimensions</t>
    </r>
    <r>
      <rPr>
        <sz val="11"/>
        <color theme="1"/>
        <rFont val="Tw Cen MT"/>
        <family val="2"/>
      </rPr>
      <t xml:space="preserve"> (overall length, width, height above grade, depth below grade, window areas) - </t>
    </r>
    <r>
      <rPr>
        <i/>
        <sz val="11"/>
        <color theme="1"/>
        <rFont val="Tw Cen MT"/>
        <family val="2"/>
      </rPr>
      <t>results will be most accurate for a rectangular building as shown below, overrides can be made to accommodate L-shaped and U-shaped buildings.</t>
    </r>
  </si>
  <si>
    <r>
      <t xml:space="preserve">2. Thermal properties of the </t>
    </r>
    <r>
      <rPr>
        <b/>
        <sz val="11"/>
        <color theme="1"/>
        <rFont val="Tw Cen MT"/>
        <family val="2"/>
      </rPr>
      <t>building envelope</t>
    </r>
    <r>
      <rPr>
        <sz val="11"/>
        <color theme="1"/>
        <rFont val="Tw Cen MT"/>
        <family val="2"/>
      </rPr>
      <t xml:space="preserve"> (walls, windows, roof, floor)</t>
    </r>
  </si>
  <si>
    <r>
      <t xml:space="preserve">3. </t>
    </r>
    <r>
      <rPr>
        <b/>
        <sz val="11"/>
        <color theme="1"/>
        <rFont val="Tw Cen MT"/>
        <family val="2"/>
      </rPr>
      <t>Mechanical equipment</t>
    </r>
    <r>
      <rPr>
        <sz val="11"/>
        <color theme="1"/>
        <rFont val="Tw Cen MT"/>
        <family val="2"/>
      </rPr>
      <t xml:space="preserve"> information (heating, cooling, ventilation, hot water)</t>
    </r>
  </si>
  <si>
    <r>
      <t xml:space="preserve">4. </t>
    </r>
    <r>
      <rPr>
        <b/>
        <sz val="11"/>
        <color theme="1"/>
        <rFont val="Tw Cen MT"/>
        <family val="2"/>
      </rPr>
      <t>Electrical equipment</t>
    </r>
    <r>
      <rPr>
        <sz val="11"/>
        <color theme="1"/>
        <rFont val="Tw Cen MT"/>
        <family val="2"/>
      </rPr>
      <t xml:space="preserve"> information (lighting, appliances)</t>
    </r>
  </si>
  <si>
    <t>Glossary</t>
  </si>
  <si>
    <t>Technical Notes</t>
  </si>
  <si>
    <t>Cell formatting guide:</t>
  </si>
  <si>
    <t>*</t>
  </si>
  <si>
    <t xml:space="preserve"> Model A - baseline</t>
  </si>
  <si>
    <t xml:space="preserve"> Calculation results</t>
  </si>
  <si>
    <t xml:space="preserve"> Percent (%) improvement over Model A baseline</t>
  </si>
  <si>
    <t>Sections:</t>
  </si>
  <si>
    <t>Work through each section from top to bottom to complete Model A.</t>
  </si>
  <si>
    <t>1. Input</t>
  </si>
  <si>
    <t xml:space="preserve">2. Model Parameters </t>
  </si>
  <si>
    <t>3. Output</t>
  </si>
  <si>
    <t>4. Net-zero Energy Summary</t>
  </si>
  <si>
    <t>Once you've completed Model A you may return to the top and complete Model B.</t>
  </si>
  <si>
    <t>Do not perform any retrofit work without considering air, vapour and weather barrier detailing.</t>
  </si>
  <si>
    <t>Grant applications will require a pre-retrofit energy audit. Please contact your Energy Advisor before you begin work.</t>
  </si>
  <si>
    <t>More complex energy analysis can be prepared in PHPP, HOT2000 or IESVE.</t>
  </si>
  <si>
    <t>We recommend choosing construction materials with low embodied carbon.</t>
  </si>
  <si>
    <t>➊</t>
  </si>
  <si>
    <t>Input:</t>
  </si>
  <si>
    <t>Contact Bright Buildings for photos, details and schematics designs.</t>
  </si>
  <si>
    <t>House Parameter Options:</t>
  </si>
  <si>
    <t>Heating &amp; Cooling Load - Model A</t>
  </si>
  <si>
    <t>Building Owner</t>
  </si>
  <si>
    <t>Inputs:</t>
  </si>
  <si>
    <t>Address</t>
  </si>
  <si>
    <t>winter setpoint</t>
  </si>
  <si>
    <t>°C</t>
  </si>
  <si>
    <t>heating ΔT</t>
  </si>
  <si>
    <t>air density</t>
  </si>
  <si>
    <t>kg/m³</t>
  </si>
  <si>
    <t>ACH50</t>
  </si>
  <si>
    <t>Annual Energy</t>
  </si>
  <si>
    <t>Heating Load</t>
  </si>
  <si>
    <t>summer setpoint</t>
  </si>
  <si>
    <t>cooling ΔT</t>
  </si>
  <si>
    <t>ventilation efficiency</t>
  </si>
  <si>
    <t>airflow rate</t>
  </si>
  <si>
    <t>ground temperature</t>
  </si>
  <si>
    <t>summer setpoint enthalpy</t>
  </si>
  <si>
    <t>kJ/kg</t>
  </si>
  <si>
    <t>infiltration annual energy</t>
  </si>
  <si>
    <t>1/h</t>
  </si>
  <si>
    <t>m³/h</t>
  </si>
  <si>
    <r>
      <t>Length</t>
    </r>
    <r>
      <rPr>
        <i/>
        <sz val="11"/>
        <color theme="1"/>
        <rFont val="Tw Cen MT"/>
        <family val="2"/>
      </rPr>
      <t xml:space="preserve"> - (facing east)</t>
    </r>
  </si>
  <si>
    <t>m</t>
  </si>
  <si>
    <t>winter design temperature</t>
  </si>
  <si>
    <t>summer design enthalpy</t>
  </si>
  <si>
    <t>infiltration heating load</t>
  </si>
  <si>
    <r>
      <t xml:space="preserve">Width - </t>
    </r>
    <r>
      <rPr>
        <i/>
        <sz val="11"/>
        <color theme="1"/>
        <rFont val="Tw Cen MT"/>
        <family val="2"/>
      </rPr>
      <t>(facing south)</t>
    </r>
  </si>
  <si>
    <t>summer design DB</t>
  </si>
  <si>
    <t>cooling Δh</t>
  </si>
  <si>
    <t>ventilation</t>
  </si>
  <si>
    <t>Height above grade</t>
  </si>
  <si>
    <t>summer design WB</t>
  </si>
  <si>
    <t>Wh/kg</t>
  </si>
  <si>
    <t>Depth below grade</t>
  </si>
  <si>
    <t>Calculations:</t>
  </si>
  <si>
    <t>Interior Floor Area</t>
  </si>
  <si>
    <t>m²</t>
  </si>
  <si>
    <t>Opaque Assemblies</t>
  </si>
  <si>
    <t>Heating</t>
  </si>
  <si>
    <t>Q = UAΔT</t>
  </si>
  <si>
    <t>Q = VΔTc</t>
  </si>
  <si>
    <t>Cooling</t>
  </si>
  <si>
    <t>Q = ρVΔh</t>
  </si>
  <si>
    <t>W/per</t>
  </si>
  <si>
    <t>W/m²</t>
  </si>
  <si>
    <t>People</t>
  </si>
  <si>
    <t>#</t>
  </si>
  <si>
    <t>x</t>
  </si>
  <si>
    <t>Building assembly description</t>
  </si>
  <si>
    <t>U-value (W/m²K)</t>
  </si>
  <si>
    <t>Area (m²)</t>
  </si>
  <si>
    <t>ΔT (°C)</t>
  </si>
  <si>
    <t>Transmission (W)</t>
  </si>
  <si>
    <t>Infiltration (W)</t>
  </si>
  <si>
    <t>Ventilation (W)</t>
  </si>
  <si>
    <t>Lighting</t>
  </si>
  <si>
    <t>Equipment</t>
  </si>
  <si>
    <t>Units</t>
  </si>
  <si>
    <t>Cellulose or Batt</t>
  </si>
  <si>
    <t>Wall Above Grade</t>
  </si>
  <si>
    <t>Wall Below Grade</t>
  </si>
  <si>
    <t>Roof</t>
  </si>
  <si>
    <t>Floor</t>
  </si>
  <si>
    <t>Roof Area</t>
  </si>
  <si>
    <r>
      <t xml:space="preserve">Floor Area </t>
    </r>
    <r>
      <rPr>
        <i/>
        <sz val="11"/>
        <color theme="1"/>
        <rFont val="Tw Cen MT"/>
        <family val="2"/>
      </rPr>
      <t>(footprint)</t>
    </r>
  </si>
  <si>
    <t>Rockwool ComfortBatt</t>
  </si>
  <si>
    <t>b. R10 - 2x4 w Batt</t>
  </si>
  <si>
    <t>b. R13 - Conc. + 3" Rigid</t>
  </si>
  <si>
    <t>b. R20 - 6"</t>
  </si>
  <si>
    <t>Comfortboard, EPS II</t>
  </si>
  <si>
    <t>or Fibreglass</t>
  </si>
  <si>
    <t>c. R15 - 2x6 w Batt</t>
  </si>
  <si>
    <t>c. R40 - 12"</t>
  </si>
  <si>
    <t>Door</t>
  </si>
  <si>
    <t>Available Solar Area</t>
  </si>
  <si>
    <t>d. R60 - 18"</t>
  </si>
  <si>
    <t>Total</t>
  </si>
  <si>
    <t>Rockwool ComfortBoard</t>
  </si>
  <si>
    <t>e. R80 - 24"</t>
  </si>
  <si>
    <t>Total Window &amp; Glass Doors Area</t>
  </si>
  <si>
    <t>f. R100 - 30"</t>
  </si>
  <si>
    <t>Transparent Assemblies</t>
  </si>
  <si>
    <t>Cooling Load (W)</t>
  </si>
  <si>
    <t>North</t>
  </si>
  <si>
    <t>Window Description</t>
  </si>
  <si>
    <r>
      <t>U</t>
    </r>
    <r>
      <rPr>
        <b/>
        <vertAlign val="subscript"/>
        <sz val="11"/>
        <rFont val="Tw Cen MT"/>
        <family val="2"/>
      </rPr>
      <t>w installed</t>
    </r>
    <r>
      <rPr>
        <b/>
        <sz val="11"/>
        <rFont val="Tw Cen MT"/>
        <family val="2"/>
      </rPr>
      <t xml:space="preserve"> (W/m²K)</t>
    </r>
  </si>
  <si>
    <t>SHGC</t>
  </si>
  <si>
    <t>Window Area (m²)</t>
  </si>
  <si>
    <t>Glazing Area (m²)</t>
  </si>
  <si>
    <t>Summer Shading Factor</t>
  </si>
  <si>
    <t>Direction (°)</t>
  </si>
  <si>
    <t>Solar Gain (W/m²)</t>
  </si>
  <si>
    <t>Heating Load (W)</t>
  </si>
  <si>
    <t>Conduction</t>
  </si>
  <si>
    <t>Solar Gain</t>
  </si>
  <si>
    <t>East</t>
  </si>
  <si>
    <t>Blown-in Densepack Cellulose</t>
  </si>
  <si>
    <t>South</t>
  </si>
  <si>
    <t>West</t>
  </si>
  <si>
    <t>Exterior Solid Door Area</t>
  </si>
  <si>
    <t>Building Volume</t>
  </si>
  <si>
    <t>m³</t>
  </si>
  <si>
    <t>Window Types</t>
  </si>
  <si>
    <t>Door Type</t>
  </si>
  <si>
    <t>Annual Space Heating - Model A</t>
  </si>
  <si>
    <t>Ground Reduction Factor</t>
  </si>
  <si>
    <t xml:space="preserve">a. Single Pane </t>
  </si>
  <si>
    <t>a. Uninsulated</t>
  </si>
  <si>
    <t>Transmission Losses</t>
  </si>
  <si>
    <t>b. Double Pane</t>
  </si>
  <si>
    <t>b. Insulated (R10)</t>
  </si>
  <si>
    <r>
      <t>G</t>
    </r>
    <r>
      <rPr>
        <b/>
        <vertAlign val="subscript"/>
        <sz val="11"/>
        <color theme="1"/>
        <rFont val="Tw Cen MT"/>
        <family val="2"/>
      </rPr>
      <t xml:space="preserve">t </t>
    </r>
    <r>
      <rPr>
        <b/>
        <sz val="11"/>
        <color theme="1"/>
        <rFont val="Tw Cen MT"/>
        <family val="2"/>
      </rPr>
      <t>(kKh/a)</t>
    </r>
  </si>
  <si>
    <t>kWh/a</t>
  </si>
  <si>
    <t>Ventilation</t>
  </si>
  <si>
    <t>Infiltration</t>
  </si>
  <si>
    <t>Ventilation Volume (m³)</t>
  </si>
  <si>
    <r>
      <t>c</t>
    </r>
    <r>
      <rPr>
        <b/>
        <vertAlign val="subscript"/>
        <sz val="11"/>
        <rFont val="Tw Cen MT"/>
        <family val="2"/>
      </rPr>
      <t>Air</t>
    </r>
  </si>
  <si>
    <t>Heating Degree Days</t>
  </si>
  <si>
    <t>HDD18</t>
  </si>
  <si>
    <t>Heating Degree Hours</t>
  </si>
  <si>
    <t>kKh/a</t>
  </si>
  <si>
    <t>top</t>
  </si>
  <si>
    <t>Total Losses</t>
  </si>
  <si>
    <t>➋</t>
  </si>
  <si>
    <t>Parameters - Model A:</t>
  </si>
  <si>
    <t>Parameters - Model B:</t>
  </si>
  <si>
    <t>What improvements would you like to consider?</t>
  </si>
  <si>
    <t>Airtightness</t>
  </si>
  <si>
    <t>ACH @50 Pa</t>
  </si>
  <si>
    <t>Exterior Doors</t>
  </si>
  <si>
    <t>R-Values</t>
  </si>
  <si>
    <t>RSI-Values</t>
  </si>
  <si>
    <t>-</t>
  </si>
  <si>
    <t>Windows</t>
  </si>
  <si>
    <t>Type of construction</t>
  </si>
  <si>
    <t>U-Values</t>
  </si>
  <si>
    <t>°F⋅ft²h/BTU</t>
  </si>
  <si>
    <t>m²K/W</t>
  </si>
  <si>
    <t>W/m²K</t>
  </si>
  <si>
    <t>Solar Gains</t>
  </si>
  <si>
    <t>Internal Heat Gains</t>
  </si>
  <si>
    <t>Ventilation (HRV/ERV)</t>
  </si>
  <si>
    <t>Efficiency</t>
  </si>
  <si>
    <t>Fuel Type</t>
  </si>
  <si>
    <t>Winter Shading Factor</t>
  </si>
  <si>
    <t>Radiation (kWh/m²a)</t>
  </si>
  <si>
    <t>Length of heating period (d/a)</t>
  </si>
  <si>
    <t>Spec. Power (W/m²)</t>
  </si>
  <si>
    <t>TFA (m²)</t>
  </si>
  <si>
    <t>a. Exhaust Only</t>
  </si>
  <si>
    <t>a. Mid Eff. Furnace / Boiler</t>
  </si>
  <si>
    <t>Natural Gas</t>
  </si>
  <si>
    <t>a. None</t>
  </si>
  <si>
    <t>b. High Eff. Furnace / Boiler</t>
  </si>
  <si>
    <t>b. Minimum Efficiency AC Unit</t>
  </si>
  <si>
    <t>c. Electric Heat</t>
  </si>
  <si>
    <t>Electricity</t>
  </si>
  <si>
    <t>c. Ground Source Heat Pump</t>
  </si>
  <si>
    <t xml:space="preserve">South </t>
  </si>
  <si>
    <t>Total Gains</t>
  </si>
  <si>
    <t>d. Air Source Heat Pump</t>
  </si>
  <si>
    <t>Utilisation factor</t>
  </si>
  <si>
    <t>Solar Heat Gain Coefficient (SHGC)</t>
  </si>
  <si>
    <t>%</t>
  </si>
  <si>
    <t>e. Ground Source Heat Pump</t>
  </si>
  <si>
    <t xml:space="preserve">Solid Door </t>
  </si>
  <si>
    <t>Annual Heating Demand</t>
  </si>
  <si>
    <t>Heating Energy Balance - Model A</t>
  </si>
  <si>
    <t>Heating Energy Balance - Model B</t>
  </si>
  <si>
    <t>Space Heating Demand</t>
  </si>
  <si>
    <t>kWh/m²a</t>
  </si>
  <si>
    <t>Domestic Hot Water</t>
  </si>
  <si>
    <t>DHW fuel type</t>
  </si>
  <si>
    <t>DHW Storage losses</t>
  </si>
  <si>
    <t>Drain Water Heat Recovery</t>
  </si>
  <si>
    <t>Seasonal Efficiency</t>
  </si>
  <si>
    <t>Heating &amp; Cooling Load - Model B</t>
  </si>
  <si>
    <t>Losses</t>
  </si>
  <si>
    <t>Gains</t>
  </si>
  <si>
    <t>a. Mid Eff. Water Heater / Boiler</t>
  </si>
  <si>
    <t>On Demand</t>
  </si>
  <si>
    <t>kWh</t>
  </si>
  <si>
    <t>a. No</t>
  </si>
  <si>
    <t>Walls</t>
  </si>
  <si>
    <t>b. High Eff. Water Heater / Boiler</t>
  </si>
  <si>
    <t>Tank</t>
  </si>
  <si>
    <t>b. Yes</t>
  </si>
  <si>
    <t>Walls - Below Grade</t>
  </si>
  <si>
    <t>c. Electric Water Heater</t>
  </si>
  <si>
    <t>d. Heat Pump Water Heater</t>
  </si>
  <si>
    <t>DHW Distribution losses</t>
  </si>
  <si>
    <t>DHW, Lighting, Appliances and Other Calculations:</t>
  </si>
  <si>
    <t>a. Low flow fixtures, House</t>
  </si>
  <si>
    <t>L/day</t>
  </si>
  <si>
    <t>b. Standard fixtures, House</t>
  </si>
  <si>
    <t>c. Low flow fixtures, MURB</t>
  </si>
  <si>
    <t>d. Standard fixtures, MURB</t>
  </si>
  <si>
    <t>a. LED Lighting</t>
  </si>
  <si>
    <t>kWh/day</t>
  </si>
  <si>
    <t>b. Standard Lighting, House</t>
  </si>
  <si>
    <t>c. Standard Lighting, MURB</t>
  </si>
  <si>
    <t>Mechanical Equipment - Seasonal Average Efficiency</t>
  </si>
  <si>
    <t>Appliances</t>
  </si>
  <si>
    <t>a. EnergyStar Appliances, House</t>
  </si>
  <si>
    <t>b. Standard Appliances, House</t>
  </si>
  <si>
    <t>c. EnergyStar Appliances, MURB</t>
  </si>
  <si>
    <t>d. Standard Appliances, MURB</t>
  </si>
  <si>
    <t>Hot Water Heater</t>
  </si>
  <si>
    <t>Other</t>
  </si>
  <si>
    <t>a. Fixed plug loads, House</t>
  </si>
  <si>
    <t>b. Fixed plug loads, MURB</t>
  </si>
  <si>
    <t>Hot Water Fixtures, Lighting and Appliances</t>
  </si>
  <si>
    <t>Hot Water Fixtures</t>
  </si>
  <si>
    <t>Annual Space Heating - Model B</t>
  </si>
  <si>
    <t>Energy Price Calculations:</t>
  </si>
  <si>
    <t>Gas</t>
  </si>
  <si>
    <t>Plug Loads</t>
  </si>
  <si>
    <t>kWh/m^3</t>
  </si>
  <si>
    <t>GJ/m^3</t>
  </si>
  <si>
    <t>Carbon Price</t>
  </si>
  <si>
    <t>$/tonne</t>
  </si>
  <si>
    <t>Carbon (kg/kWh)</t>
  </si>
  <si>
    <t>Carbon ($/kWh)</t>
  </si>
  <si>
    <t>Total Price ($/kWh)</t>
  </si>
  <si>
    <t xml:space="preserve">Delivery Charge = </t>
  </si>
  <si>
    <t>$/GJ</t>
  </si>
  <si>
    <t>Energy Prices:</t>
  </si>
  <si>
    <t>Price ($/kWh)</t>
  </si>
  <si>
    <t>$/kWh</t>
  </si>
  <si>
    <t>a. Electricity</t>
  </si>
  <si>
    <t xml:space="preserve">Commodity Charge = </t>
  </si>
  <si>
    <t>b. Clean Electricity</t>
  </si>
  <si>
    <t>c. Natural Gas (Fossil)</t>
  </si>
  <si>
    <t xml:space="preserve">Total Rate = </t>
  </si>
  <si>
    <t>d. Clean Gas</t>
  </si>
  <si>
    <t>e. Propane</t>
  </si>
  <si>
    <t>f. Wood Pellets</t>
  </si>
  <si>
    <r>
      <t>kg/kWh natural gas CO</t>
    </r>
    <r>
      <rPr>
        <vertAlign val="subscript"/>
        <sz val="11"/>
        <color theme="1"/>
        <rFont val="Tw Cen MT"/>
        <family val="2"/>
      </rPr>
      <t>2</t>
    </r>
    <r>
      <rPr>
        <sz val="11"/>
        <color theme="1"/>
        <rFont val="Tw Cen MT"/>
        <family val="2"/>
      </rPr>
      <t xml:space="preserve"> emissions</t>
    </r>
  </si>
  <si>
    <t>Does not include service fees.</t>
  </si>
  <si>
    <t>$/tonne carbon price</t>
  </si>
  <si>
    <t>➌</t>
  </si>
  <si>
    <t>Output - Model A:</t>
  </si>
  <si>
    <t>Output - Model B:</t>
  </si>
  <si>
    <t>% Improvement</t>
  </si>
  <si>
    <t>kW</t>
  </si>
  <si>
    <t>BTU/h</t>
  </si>
  <si>
    <t>Cooling Load</t>
  </si>
  <si>
    <t>tons</t>
  </si>
  <si>
    <t>Propane</t>
  </si>
  <si>
    <t>Annual Energy Consumption</t>
  </si>
  <si>
    <t>kWh/L</t>
  </si>
  <si>
    <t>Space Heating</t>
  </si>
  <si>
    <t>MJ</t>
  </si>
  <si>
    <t>$/L</t>
  </si>
  <si>
    <t>Hot Water</t>
  </si>
  <si>
    <t>Lights, Appliances, Plugs</t>
  </si>
  <si>
    <t>Total Energy Consumption</t>
  </si>
  <si>
    <t>kWh/m²</t>
  </si>
  <si>
    <t>Passivhaus metric [15 kWh/m²]</t>
  </si>
  <si>
    <t>aka Thermal Energy Demand Intensity, TEDI</t>
  </si>
  <si>
    <t>Annual Energy Costs</t>
  </si>
  <si>
    <t>➍</t>
  </si>
  <si>
    <t>Net-zero Energy Summary - Model A:</t>
  </si>
  <si>
    <t>Net-zero Energy Summary - Model B:</t>
  </si>
  <si>
    <t>Model A - Energy Consumption (Gas + Electricity)</t>
  </si>
  <si>
    <t>Model B - Energy Consumption (Gas + Electricity)</t>
  </si>
  <si>
    <t>Economics</t>
  </si>
  <si>
    <t>Year</t>
  </si>
  <si>
    <t>Electric Vehicle</t>
  </si>
  <si>
    <t>energy inflation</t>
  </si>
  <si>
    <t>Model A - Electricity Generation</t>
  </si>
  <si>
    <t>Model B - Electricity Generation</t>
  </si>
  <si>
    <t>Axis Maximum</t>
  </si>
  <si>
    <t>➎</t>
  </si>
  <si>
    <t>See Model B</t>
  </si>
  <si>
    <t>If Model B is not shown, expand the group of columns by clicking the [+] plus sign above.</t>
  </si>
  <si>
    <t>Improvement</t>
  </si>
  <si>
    <t>Quantity</t>
  </si>
  <si>
    <t>Cost</t>
  </si>
  <si>
    <t>$</t>
  </si>
  <si>
    <t>Insulation</t>
  </si>
  <si>
    <t>Battery</t>
  </si>
  <si>
    <t>Max solar with provided roof area:</t>
  </si>
  <si>
    <t>Total Cost</t>
  </si>
  <si>
    <t>Investment</t>
  </si>
  <si>
    <t>Annual Savings</t>
  </si>
  <si>
    <t>Payback (years)</t>
  </si>
  <si>
    <t>IRR</t>
  </si>
  <si>
    <t>Net-savings (20 years)</t>
  </si>
  <si>
    <t xml:space="preserve"> </t>
  </si>
  <si>
    <t>Monthly Payments</t>
  </si>
  <si>
    <t>Monthly Savings</t>
  </si>
  <si>
    <t>Monthly
Net-savings</t>
  </si>
  <si>
    <t>Term (years)</t>
  </si>
  <si>
    <t>Interest</t>
  </si>
  <si>
    <t>degree Celsius, temperature scale</t>
  </si>
  <si>
    <t>a</t>
  </si>
  <si>
    <t>annum, per year</t>
  </si>
  <si>
    <t>ACH, 1/h</t>
  </si>
  <si>
    <t>Air Changes per Hour, used to describe the air leakage during a blower door test, also used to describe ventilation rates. One air change per hour is the volume of the room being fully replaced every hour.</t>
  </si>
  <si>
    <t>batt</t>
  </si>
  <si>
    <t>batt insulation, this could be mineral wool, fibreglass or sheeps wool</t>
  </si>
  <si>
    <t>BTU</t>
  </si>
  <si>
    <t>British Thermal Units, rate: 1 watt = 3.41 BTU per hour, quantity: 1 watt*hour = 3.41 BTU</t>
  </si>
  <si>
    <t xml:space="preserve">Conc. </t>
  </si>
  <si>
    <t>concrete</t>
  </si>
  <si>
    <t>effective vs nominal values</t>
  </si>
  <si>
    <t>effective U-values take into account thermal bridging and other aspects that reduce performance rather than nominal performance stated by the manufacture on the packaging for the insulation alone</t>
  </si>
  <si>
    <t>embodied carbon</t>
  </si>
  <si>
    <t>total of greenhouse gas emissions that are caused by the manufacture and supply of construction products and materials, as well as the construction process itself</t>
  </si>
  <si>
    <t>Energuide</t>
  </si>
  <si>
    <t>energy efficiency rating system maintained by the Government of Canada and Natural Resources Canada (NRCan)</t>
  </si>
  <si>
    <t>GJ</t>
  </si>
  <si>
    <t>gigajoule, 1000 megajoules, or 1 billion joules, unit of energy</t>
  </si>
  <si>
    <t>h</t>
  </si>
  <si>
    <t>hours</t>
  </si>
  <si>
    <t>heat pump</t>
  </si>
  <si>
    <t>efficient electric heating system that function based on refrigeration (similar to an air conditioner in reverse, and can provide cooling in the summer), they can be air source or geothermal, they will often require an electric backup heater</t>
  </si>
  <si>
    <t>Heating degree days</t>
  </si>
  <si>
    <t>Heating degree day is a measurement designed to quantify the demand for energy needed to heat a building. HDD is derived from measurements of outside air temperature. The heating requirements for a given building at a specific location are considered to be directly proportional to the number of HDD at that location.</t>
  </si>
  <si>
    <t>Heating degree hours</t>
  </si>
  <si>
    <t>similar to heating degree days but measured in hours, heating degree days x 24</t>
  </si>
  <si>
    <t>I-joist</t>
  </si>
  <si>
    <t>I-joists are strong, lightweight, "I" shaped engineered wood structural members that are typically used for floor structures. In net-zero retofits they can be used to create an insulation cavity around an existing home.</t>
  </si>
  <si>
    <t>K</t>
  </si>
  <si>
    <t>Kelvin absolute temperature scale 0 K = -273 °C, a change of 1 K equals a change of 1 °C</t>
  </si>
  <si>
    <t>k, kilo</t>
  </si>
  <si>
    <t>prefix meaning 1000, one thousand</t>
  </si>
  <si>
    <t>kilowatts, 1000 watts, power, rate of energy consumption, 1000 joules per second</t>
  </si>
  <si>
    <t>kilowatt*hour, 1000 watt*hours, energy quantity, 1 kilowatt load running for 1 hour, equal to 3.6 megajoules</t>
  </si>
  <si>
    <t>megajoule, another metric unit of energy quantity, one million joules, 3.6 kilowatt*hours</t>
  </si>
  <si>
    <t>MURB</t>
  </si>
  <si>
    <t>multi-unit residential building, an apartment or condominium building</t>
  </si>
  <si>
    <t>net-zero energy</t>
  </si>
  <si>
    <t>A net zero energy home is very energy efficient, it only uses as much energy as it can produce from on-site renewable energy throughout the year. A variation is net-zero carbon.</t>
  </si>
  <si>
    <t>PACE Financing</t>
  </si>
  <si>
    <t>Loans would be provided by the City to be used for energy efficiency retrofits and energy generation on residential properties.  This financing is different than a regular loan as it is tied to a property, not an individual, and therefore has no impact on credit ratings, mortgage limits or other individual debt limits.  Loans would be paid back to the City through property taxes. See City of Saskatoon Home Energy Loan Program (HELP)</t>
  </si>
  <si>
    <t>passivhaus</t>
  </si>
  <si>
    <t>Passivhaus is a voluntary sustainable building standard which results in buildings that require very little energy for space heating or cooling.</t>
  </si>
  <si>
    <t>rigid</t>
  </si>
  <si>
    <t>Rigid insulation, we recommend mineral wool (Rockwool Comfortboard) since it is vapour permeable and allows drying. Expanded polystyrene (EPS) is another option. Wood fibre insulation is emerging as low embodied carbon option.</t>
  </si>
  <si>
    <t>R-value</t>
  </si>
  <si>
    <t>thermal resistance, higher is better, the ability of an assembly to prevent heat flow, R-value is the inverse of U-value, R = 1/U</t>
  </si>
  <si>
    <t>solar heat gain coefficient, defines how much solar gain is allowed in through a window, high solar gain 50% (for passive solar design), low solar gain 30% (if overheating is a risk)</t>
  </si>
  <si>
    <t>U-value</t>
  </si>
  <si>
    <t>thermal transmittance or heat transfer coefficient, lower is better, the amount of heat that moves through an assembly for a unit area and temperature difference, U-value is the inverse of R-value, U = 1/R</t>
  </si>
  <si>
    <t>Conversion Table</t>
  </si>
  <si>
    <t>1 m = 3.28 ft</t>
  </si>
  <si>
    <t>1 m² = 10.8 ft²</t>
  </si>
  <si>
    <t>U-value [metric] = 5.678 / R-value [imperial]</t>
  </si>
  <si>
    <t>R-value [imperial] = 5.678 / U-value [metric]</t>
  </si>
  <si>
    <t>The spreadsheet may be unlocked completely by clicking "Unprotect Sheet" in the "Review" toolbar. There is no password.</t>
  </si>
  <si>
    <t>Feel free to modify or make improvements.</t>
  </si>
  <si>
    <t>Please enter the overall dimensions of the building:</t>
  </si>
  <si>
    <t>e. R19 - 2x8 w Batt</t>
  </si>
  <si>
    <t>f. R21 - 2x4 + 3" Rigid</t>
  </si>
  <si>
    <t>g. R31 - 2x4 + 6" Rigid</t>
  </si>
  <si>
    <t>i. R42 - 2x4 + 9.5" I-joist</t>
  </si>
  <si>
    <t>j. R50 - 2x4 + 12" I-joist</t>
  </si>
  <si>
    <t>k. R26 - 2x6 + 3" Rigid</t>
  </si>
  <si>
    <t>l. R55 - 2x6 +12" I-joist</t>
  </si>
  <si>
    <t>d. R25 - Conc. + 6" Rigid</t>
  </si>
  <si>
    <t>e. R37 - Conc. + 9" Rigid</t>
  </si>
  <si>
    <t>f. R9 - 2x4 + Conc.</t>
  </si>
  <si>
    <t>g. R14 - 2x6 + Conc.</t>
  </si>
  <si>
    <t>h. R30 - 2x4 + 5.5" Batt + Conc.</t>
  </si>
  <si>
    <t>d. R50 - NBC</t>
  </si>
  <si>
    <t>d. R17 - NBC</t>
  </si>
  <si>
    <t>Business Case</t>
  </si>
  <si>
    <t>e. Triple Pane (PVC, uninsulated)</t>
  </si>
  <si>
    <t>g. Triple Pane (High Performance) - Low SHGC</t>
  </si>
  <si>
    <t>h. Triple Pane (Passivhaus)</t>
  </si>
  <si>
    <t>i. Quad Pane (or Passivhaus Cold Climate)</t>
  </si>
  <si>
    <t>c. NBC</t>
  </si>
  <si>
    <t>d. Improved Double Pane (Argon, Low-E)</t>
  </si>
  <si>
    <t>f. Triple Pane (High Performance) - High SHGC</t>
  </si>
  <si>
    <t>c. R17 - NBC</t>
  </si>
  <si>
    <t>b. R11 - NBC Above Frost Line</t>
  </si>
  <si>
    <t>c. R13 - 3" Rigid</t>
  </si>
  <si>
    <t>d. R16 - NBC Heated Floor or Slab On Grade</t>
  </si>
  <si>
    <t>e. R25 - 6" Rigid</t>
  </si>
  <si>
    <t>f. R37 - 9" Rigid</t>
  </si>
  <si>
    <t>b. Minimum Efficiency NECB</t>
  </si>
  <si>
    <t>c. Minimum Efficiency NBC 9.36</t>
  </si>
  <si>
    <t>h. R35 - 2x4 + 2x8 w Batt</t>
  </si>
  <si>
    <t>General Notes:</t>
  </si>
  <si>
    <t>Insulation effective R-values account for NBC 9.36 typical framing percentages.</t>
  </si>
  <si>
    <t>d. 75%</t>
  </si>
  <si>
    <t>e. 80%</t>
  </si>
  <si>
    <t>f. 85%</t>
  </si>
  <si>
    <t>g. 90%</t>
  </si>
  <si>
    <t>Re-select parameters if updates are made in the Parameter Library.</t>
  </si>
  <si>
    <t>Ventilation + Infiltration Losses</t>
  </si>
  <si>
    <t>a. 0.6 [Passivhaus]</t>
  </si>
  <si>
    <t>b. 0.8</t>
  </si>
  <si>
    <t>c. 1.0 [Net-zero]</t>
  </si>
  <si>
    <t>d. 1.5</t>
  </si>
  <si>
    <t>e. 2.5 [NBC]</t>
  </si>
  <si>
    <t>f. 3</t>
  </si>
  <si>
    <t>h. 10 [100 years old]</t>
  </si>
  <si>
    <t>g. 5</t>
  </si>
  <si>
    <t>m. R75 - 2x6 + 16" I-joist</t>
  </si>
  <si>
    <t>HELP, Home Energy Loan Program</t>
  </si>
  <si>
    <t>Saskatoon Home Energy Loan Program</t>
  </si>
  <si>
    <t>Note scale^</t>
  </si>
  <si>
    <t>Where does the heat go, where does it come from?</t>
  </si>
  <si>
    <t>A HOT2000 energy model will need to be prepared for grant and financing.</t>
  </si>
  <si>
    <t xml:space="preserve"> Model B - proposed upgrade</t>
  </si>
  <si>
    <t>Ventilation rate (1/h)</t>
  </si>
  <si>
    <t>Model A Air Leakage Table (ACH)</t>
  </si>
  <si>
    <t>Model B Air Leakage Table (ACH)</t>
  </si>
  <si>
    <t>Read:</t>
  </si>
  <si>
    <t>brightbuildings.ca</t>
  </si>
  <si>
    <t xml:space="preserve"> This tool is most accurate in determining annual space heating energy for high performance homes.</t>
  </si>
  <si>
    <t xml:space="preserve"> Project economics are subject to market volatility.</t>
  </si>
  <si>
    <t>&lt; [+] How to use this tool:</t>
  </si>
  <si>
    <t>bright buildings inc.</t>
  </si>
  <si>
    <t>Please open with Microsoft Excel.</t>
  </si>
  <si>
    <t xml:space="preserve"> Given standard conditions, Models A and B present a fair comparison.</t>
  </si>
  <si>
    <t>Model B [+] &gt;</t>
  </si>
  <si>
    <t>Total Projected Energy Costs</t>
  </si>
  <si>
    <t xml:space="preserve"> Models project future energy costs and assume standard conditions for ventilation, occupancy and weather.</t>
  </si>
  <si>
    <r>
      <t>Savings</t>
    </r>
    <r>
      <rPr>
        <b/>
        <sz val="9"/>
        <color theme="1"/>
        <rFont val="Tw Cen MT"/>
        <family val="2"/>
      </rPr>
      <t xml:space="preserve"> (Before Solar)</t>
    </r>
  </si>
  <si>
    <t>$/m²</t>
  </si>
  <si>
    <t>Basement walls</t>
  </si>
  <si>
    <t>Heat pump</t>
  </si>
  <si>
    <t>Water heater</t>
  </si>
  <si>
    <t>Included? (1/0)</t>
  </si>
  <si>
    <t>$/m² wall b.ground</t>
  </si>
  <si>
    <t>$/m² wall a.ground</t>
  </si>
  <si>
    <t>$/m² b.floor</t>
  </si>
  <si>
    <t>$/m² window area</t>
  </si>
  <si>
    <t>$/m² roof</t>
  </si>
  <si>
    <t>Electric vehicle charger</t>
  </si>
  <si>
    <t>Loan Period</t>
  </si>
  <si>
    <t>Lifetime</t>
  </si>
  <si>
    <t>Annuity Factor</t>
  </si>
  <si>
    <t>Iadd</t>
  </si>
  <si>
    <t>R</t>
  </si>
  <si>
    <t>Upgrade Cost</t>
  </si>
  <si>
    <t>Residual Value</t>
  </si>
  <si>
    <t>alifetime</t>
  </si>
  <si>
    <t>Present value factor</t>
  </si>
  <si>
    <t>aloan</t>
  </si>
  <si>
    <t>Energy Savings (kWh)</t>
  </si>
  <si>
    <t>SaskPower does not pay 1:1 for exports to grid but Saskatoon Light &amp; Power does.</t>
  </si>
  <si>
    <t>Cost per kilowatt-hour saved ($/kWh)</t>
  </si>
  <si>
    <t>Bloan</t>
  </si>
  <si>
    <t>Interest Rate</t>
  </si>
  <si>
    <t>Energy Savings All (kWh)</t>
  </si>
  <si>
    <t>Time</t>
  </si>
  <si>
    <t>First</t>
  </si>
  <si>
    <t>Last</t>
  </si>
  <si>
    <t>Email</t>
  </si>
  <si>
    <t>Phone</t>
  </si>
  <si>
    <t>Upload</t>
  </si>
  <si>
    <t>Length (m)</t>
  </si>
  <si>
    <t>Width (m)</t>
  </si>
  <si>
    <t>Levels</t>
  </si>
  <si>
    <t>Basement</t>
  </si>
  <si>
    <t>2021-Sep-06 10:14PM Mon</t>
  </si>
  <si>
    <t>From Google Sheets</t>
  </si>
  <si>
    <t>Area</t>
  </si>
  <si>
    <t>Perimeter</t>
  </si>
  <si>
    <r>
      <t xml:space="preserve"> Enter your data here - this could be text, a number, a formula or a </t>
    </r>
    <r>
      <rPr>
        <i/>
        <sz val="11"/>
        <color theme="1"/>
        <rFont val="Tw Cen MT"/>
        <family val="2"/>
      </rPr>
      <t>dropdown</t>
    </r>
    <r>
      <rPr>
        <sz val="11"/>
        <color theme="1"/>
        <rFont val="Tw Cen MT"/>
        <family val="2"/>
      </rPr>
      <t xml:space="preserve"> selection. Confirm if the default values apply.</t>
    </r>
  </si>
  <si>
    <t>5. Financing your Upgrade</t>
  </si>
  <si>
    <t>Climate</t>
  </si>
  <si>
    <t xml:space="preserve"> To determine the heating, cooling and ventilation loads.</t>
  </si>
  <si>
    <t>bb App 📱</t>
  </si>
  <si>
    <t xml:space="preserve"> To quickly estimate energy consumption of homes and small buildings in Saskatchewan.</t>
  </si>
  <si>
    <t>Design</t>
  </si>
  <si>
    <t>Financing your Upgrade:</t>
  </si>
  <si>
    <t>Additional Cost (Installed)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</si>
</sst>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Red]\-&quot;$&quot;#,##0"/>
    <numFmt numFmtId="44" formatCode="_-&quot;$&quot;* #,##0.00_-;\-&quot;$&quot;* #,##0.00_-;_-&quot;$&quot;* &quot;-&quot;??_-;_-@_-"/>
    <numFmt numFmtId="43" formatCode="_-* #,##0.00_-;\-* #,##0.00_-;_-* &quot;-&quot;??_-;_-@_-"/>
    <numFmt numFmtId="164" formatCode="0.000"/>
    <numFmt numFmtId="165" formatCode="0.0"/>
    <numFmt numFmtId="166" formatCode="0.0000"/>
    <numFmt numFmtId="167" formatCode="&quot;$&quot;#,##0"/>
    <numFmt numFmtId="168" formatCode="_(* #,##0_);_(* \(#,##0\);_(* &quot;-&quot;??_);_(@_)"/>
    <numFmt numFmtId="169" formatCode="0.0%"/>
    <numFmt numFmtId="170" formatCode="0.00000"/>
    <numFmt numFmtId="171" formatCode="yyyy/mmm/dd"/>
    <numFmt numFmtId="172" formatCode="&quot;$&quot;#,##0.00"/>
  </numFmts>
  <fonts count="36" x14ac:knownFonts="1">
    <font>
      <sz val="11"/>
      <color theme="1"/>
      <name val="Calibri"/>
      <family val="2"/>
      <scheme val="minor"/>
    </font>
    <font>
      <sz val="11"/>
      <color theme="1"/>
      <name val="Calibri"/>
      <family val="2"/>
      <scheme val="minor"/>
    </font>
    <font>
      <sz val="8"/>
      <name val="Calibri"/>
      <family val="2"/>
      <scheme val="minor"/>
    </font>
    <font>
      <sz val="9"/>
      <color indexed="81"/>
      <name val="Tahoma"/>
      <family val="2"/>
    </font>
    <font>
      <b/>
      <sz val="11"/>
      <color theme="1"/>
      <name val="Tw Cen MT"/>
      <family val="2"/>
    </font>
    <font>
      <sz val="11"/>
      <color theme="1"/>
      <name val="Tw Cen MT"/>
      <family val="2"/>
    </font>
    <font>
      <vertAlign val="subscript"/>
      <sz val="11"/>
      <color theme="1"/>
      <name val="Tw Cen MT"/>
      <family val="2"/>
    </font>
    <font>
      <sz val="10"/>
      <name val="Tw Cen MT"/>
      <family val="2"/>
    </font>
    <font>
      <b/>
      <sz val="11"/>
      <name val="Tw Cen MT"/>
      <family val="2"/>
    </font>
    <font>
      <sz val="10"/>
      <name val="Arial"/>
      <family val="2"/>
    </font>
    <font>
      <u/>
      <sz val="9"/>
      <color indexed="12"/>
      <name val="Arial"/>
      <family val="2"/>
    </font>
    <font>
      <sz val="10"/>
      <name val="MS Sans Serif"/>
      <family val="2"/>
    </font>
    <font>
      <sz val="11"/>
      <name val="Tw Cen MT"/>
      <family val="2"/>
    </font>
    <font>
      <strike/>
      <sz val="11"/>
      <name val="Tw Cen MT"/>
      <family val="2"/>
    </font>
    <font>
      <b/>
      <vertAlign val="subscript"/>
      <sz val="11"/>
      <name val="Tw Cen MT"/>
      <family val="2"/>
    </font>
    <font>
      <b/>
      <vertAlign val="subscript"/>
      <sz val="11"/>
      <color theme="1"/>
      <name val="Tw Cen MT"/>
      <family val="2"/>
    </font>
    <font>
      <b/>
      <sz val="12"/>
      <color theme="1"/>
      <name val="Tw Cen MT"/>
      <family val="2"/>
    </font>
    <font>
      <i/>
      <sz val="11"/>
      <color theme="0" tint="-0.499984740745262"/>
      <name val="Tw Cen MT"/>
      <family val="2"/>
    </font>
    <font>
      <b/>
      <sz val="16"/>
      <color theme="1"/>
      <name val="Tw Cen MT"/>
      <family val="2"/>
    </font>
    <font>
      <b/>
      <sz val="14"/>
      <color theme="1"/>
      <name val="Tw Cen MT"/>
      <family val="2"/>
    </font>
    <font>
      <b/>
      <sz val="9"/>
      <color indexed="81"/>
      <name val="Tahoma"/>
      <family val="2"/>
    </font>
    <font>
      <b/>
      <sz val="11"/>
      <color rgb="FFC00000"/>
      <name val="Tw Cen MT"/>
      <family val="2"/>
    </font>
    <font>
      <sz val="18"/>
      <color theme="1"/>
      <name val="Tw Cen MT"/>
      <family val="2"/>
    </font>
    <font>
      <sz val="22"/>
      <color theme="1"/>
      <name val="Tw Cen MT"/>
      <family val="2"/>
    </font>
    <font>
      <sz val="22"/>
      <color rgb="FF000000"/>
      <name val="Tw Cen MT"/>
      <family val="2"/>
    </font>
    <font>
      <i/>
      <sz val="11"/>
      <color theme="1"/>
      <name val="Tw Cen MT"/>
      <family val="2"/>
    </font>
    <font>
      <i/>
      <sz val="12"/>
      <color theme="1"/>
      <name val="Tw Cen MT"/>
      <family val="2"/>
    </font>
    <font>
      <u/>
      <sz val="11"/>
      <color theme="10"/>
      <name val="Calibri"/>
      <family val="2"/>
      <scheme val="minor"/>
    </font>
    <font>
      <b/>
      <sz val="10"/>
      <color theme="1"/>
      <name val="Tw Cen MT"/>
      <family val="2"/>
    </font>
    <font>
      <sz val="11"/>
      <color theme="0" tint="-4.9989318521683403E-2"/>
      <name val="Tw Cen MT"/>
      <family val="2"/>
    </font>
    <font>
      <i/>
      <sz val="11"/>
      <color theme="0" tint="-4.9989318521683403E-2"/>
      <name val="Tw Cen MT"/>
      <family val="2"/>
    </font>
    <font>
      <b/>
      <u/>
      <sz val="11"/>
      <color theme="10"/>
      <name val="Calibri"/>
      <family val="2"/>
      <scheme val="minor"/>
    </font>
    <font>
      <b/>
      <sz val="14"/>
      <color theme="1"/>
      <name val="Century Gothic"/>
      <family val="2"/>
    </font>
    <font>
      <b/>
      <sz val="9"/>
      <color theme="1"/>
      <name val="Tw Cen MT"/>
      <family val="2"/>
    </font>
    <font>
      <b/>
      <sz val="10"/>
      <color theme="1"/>
      <name val="Arial"/>
      <family val="2"/>
    </font>
    <font>
      <sz val="10"/>
      <color theme="1"/>
      <name val="Arial"/>
      <family val="2"/>
    </font>
  </fonts>
  <fills count="13">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D8D0F8"/>
        <bgColor indexed="64"/>
      </patternFill>
    </fill>
    <fill>
      <patternFill patternType="solid">
        <fgColor rgb="FFF9FC7E"/>
        <bgColor indexed="64"/>
      </patternFill>
    </fill>
  </fills>
  <borders count="19">
    <border>
      <left/>
      <right/>
      <top/>
      <bottom/>
      <diagonal/>
    </border>
    <border>
      <left/>
      <right/>
      <top/>
      <bottom style="medium">
        <color indexed="64"/>
      </bottom>
      <diagonal/>
    </border>
    <border>
      <left/>
      <right/>
      <top style="thin">
        <color indexed="64"/>
      </top>
      <bottom/>
      <diagonal/>
    </border>
    <border>
      <left style="mediumDashed">
        <color auto="1"/>
      </left>
      <right style="mediumDashed">
        <color auto="1"/>
      </right>
      <top style="mediumDashed">
        <color auto="1"/>
      </top>
      <bottom style="mediumDashed">
        <color auto="1"/>
      </bottom>
      <diagonal/>
    </border>
    <border>
      <left style="mediumDashed">
        <color auto="1"/>
      </left>
      <right style="mediumDashed">
        <color auto="1"/>
      </right>
      <top style="mediumDashed">
        <color auto="1"/>
      </top>
      <bottom/>
      <diagonal/>
    </border>
    <border>
      <left style="mediumDashed">
        <color auto="1"/>
      </left>
      <right style="mediumDashed">
        <color auto="1"/>
      </right>
      <top/>
      <bottom/>
      <diagonal/>
    </border>
    <border>
      <left style="mediumDashed">
        <color auto="1"/>
      </left>
      <right style="mediumDashed">
        <color auto="1"/>
      </right>
      <top/>
      <bottom style="mediumDashed">
        <color auto="1"/>
      </bottom>
      <diagonal/>
    </border>
    <border>
      <left style="mediumDashed">
        <color indexed="64"/>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style="mediumDashed">
        <color indexed="64"/>
      </right>
      <top/>
      <bottom style="mediumDashed">
        <color indexed="64"/>
      </bottom>
      <diagonal/>
    </border>
    <border>
      <left/>
      <right/>
      <top style="medium">
        <color indexed="64"/>
      </top>
      <bottom style="thin">
        <color indexed="64"/>
      </bottom>
      <diagonal/>
    </border>
    <border>
      <left/>
      <right/>
      <top/>
      <bottom style="thin">
        <color indexed="64"/>
      </bottom>
      <diagonal/>
    </border>
    <border>
      <left/>
      <right/>
      <top/>
      <bottom style="mediumDashed">
        <color indexed="64"/>
      </bottom>
      <diagonal/>
    </border>
    <border>
      <left style="medium">
        <color rgb="FFCCCCCC"/>
      </left>
      <right style="medium">
        <color rgb="FFCCCCCC"/>
      </right>
      <top style="medium">
        <color rgb="FFCCCCCC"/>
      </top>
      <bottom style="medium">
        <color rgb="FFCCCCCC"/>
      </bottom>
      <diagonal/>
    </border>
    <border>
      <left style="mediumDashed">
        <color indexed="64"/>
      </left>
      <right/>
      <top style="mediumDashed">
        <color indexed="64"/>
      </top>
      <bottom style="mediumDashed">
        <color indexed="64"/>
      </bottom>
      <diagonal/>
    </border>
    <border>
      <left/>
      <right style="mediumDashed">
        <color indexed="64"/>
      </right>
      <top style="mediumDashed">
        <color indexed="64"/>
      </top>
      <bottom style="mediumDashed">
        <color indexed="64"/>
      </bottom>
      <diagonal/>
    </border>
  </borders>
  <cellStyleXfs count="9">
    <xf numFmtId="0" fontId="0" fillId="0" borderId="0"/>
    <xf numFmtId="9" fontId="1" fillId="0" borderId="0" applyFont="0" applyFill="0" applyBorder="0" applyAlignment="0" applyProtection="0"/>
    <xf numFmtId="44" fontId="1" fillId="0" borderId="0" applyFont="0" applyFill="0" applyBorder="0" applyAlignment="0" applyProtection="0"/>
    <xf numFmtId="0" fontId="9" fillId="0" borderId="0"/>
    <xf numFmtId="0" fontId="10" fillId="0" borderId="0" applyNumberFormat="0" applyFill="0" applyBorder="0" applyAlignment="0" applyProtection="0">
      <alignment vertical="top"/>
      <protection locked="0"/>
    </xf>
    <xf numFmtId="0" fontId="11" fillId="0" borderId="0"/>
    <xf numFmtId="9" fontId="9" fillId="0" borderId="0" applyFont="0" applyFill="0" applyBorder="0" applyAlignment="0" applyProtection="0"/>
    <xf numFmtId="43" fontId="1" fillId="0" borderId="0" applyFont="0" applyFill="0" applyBorder="0" applyAlignment="0" applyProtection="0"/>
    <xf numFmtId="0" fontId="27" fillId="0" borderId="0" applyNumberFormat="0" applyFill="0" applyBorder="0" applyAlignment="0" applyProtection="0"/>
  </cellStyleXfs>
  <cellXfs count="308">
    <xf numFmtId="0" fontId="0" fillId="0" borderId="0" xfId="0"/>
    <xf numFmtId="0" fontId="5" fillId="2" borderId="0" xfId="0" applyFont="1" applyFill="1"/>
    <xf numFmtId="165" fontId="5" fillId="2" borderId="0" xfId="0" applyNumberFormat="1" applyFont="1" applyFill="1"/>
    <xf numFmtId="1" fontId="5" fillId="2" borderId="0" xfId="0" applyNumberFormat="1" applyFont="1" applyFill="1"/>
    <xf numFmtId="0" fontId="5" fillId="2" borderId="1" xfId="0" applyFont="1" applyFill="1" applyBorder="1"/>
    <xf numFmtId="0" fontId="5" fillId="3" borderId="0" xfId="0" applyFont="1" applyFill="1"/>
    <xf numFmtId="0" fontId="5" fillId="2" borderId="0" xfId="0" applyFont="1" applyFill="1" applyAlignment="1">
      <alignment horizontal="right"/>
    </xf>
    <xf numFmtId="0" fontId="5" fillId="2" borderId="0" xfId="0" applyFont="1" applyFill="1" applyBorder="1"/>
    <xf numFmtId="2" fontId="5" fillId="2" borderId="0" xfId="0" applyNumberFormat="1" applyFont="1" applyFill="1"/>
    <xf numFmtId="0" fontId="4" fillId="2" borderId="0" xfId="0" applyFont="1" applyFill="1" applyBorder="1"/>
    <xf numFmtId="1" fontId="5" fillId="2" borderId="0" xfId="0" applyNumberFormat="1" applyFont="1" applyFill="1" applyBorder="1"/>
    <xf numFmtId="0" fontId="5" fillId="2" borderId="0" xfId="0" applyFont="1" applyFill="1" applyBorder="1" applyAlignment="1">
      <alignment horizontal="right"/>
    </xf>
    <xf numFmtId="0" fontId="5" fillId="2" borderId="0" xfId="0" applyFont="1" applyFill="1" applyAlignment="1"/>
    <xf numFmtId="0" fontId="5" fillId="2" borderId="0" xfId="0" applyNumberFormat="1" applyFont="1" applyFill="1"/>
    <xf numFmtId="0" fontId="5" fillId="2" borderId="0" xfId="0" applyFont="1" applyFill="1" applyAlignment="1">
      <alignment vertical="center"/>
    </xf>
    <xf numFmtId="9" fontId="5" fillId="2" borderId="0" xfId="1" applyFont="1" applyFill="1" applyBorder="1"/>
    <xf numFmtId="0" fontId="5" fillId="2" borderId="0" xfId="0" applyNumberFormat="1" applyFont="1" applyFill="1" applyBorder="1"/>
    <xf numFmtId="9" fontId="12" fillId="2" borderId="0" xfId="0" applyNumberFormat="1" applyFont="1" applyFill="1"/>
    <xf numFmtId="0" fontId="19" fillId="2" borderId="0" xfId="0" applyFont="1" applyFill="1"/>
    <xf numFmtId="0" fontId="17" fillId="2" borderId="0" xfId="0" applyFont="1" applyFill="1" applyAlignment="1">
      <alignment horizontal="right"/>
    </xf>
    <xf numFmtId="0" fontId="18" fillId="2" borderId="0" xfId="0" applyFont="1" applyFill="1"/>
    <xf numFmtId="0" fontId="8" fillId="2" borderId="0" xfId="0" applyFont="1" applyFill="1" applyBorder="1"/>
    <xf numFmtId="0" fontId="12" fillId="2" borderId="0" xfId="0" applyFont="1" applyFill="1" applyBorder="1"/>
    <xf numFmtId="165" fontId="12" fillId="2" borderId="0" xfId="0" applyNumberFormat="1" applyFont="1" applyFill="1" applyBorder="1"/>
    <xf numFmtId="168" fontId="12" fillId="2" borderId="0" xfId="7" applyNumberFormat="1" applyFont="1" applyFill="1" applyBorder="1"/>
    <xf numFmtId="168" fontId="12" fillId="2" borderId="0" xfId="7" applyNumberFormat="1" applyFont="1" applyFill="1" applyBorder="1" applyAlignment="1">
      <alignment horizontal="center"/>
    </xf>
    <xf numFmtId="0" fontId="5" fillId="2" borderId="2" xfId="0" applyFont="1" applyFill="1" applyBorder="1"/>
    <xf numFmtId="167" fontId="5" fillId="6" borderId="2" xfId="2" applyNumberFormat="1" applyFont="1" applyFill="1" applyBorder="1"/>
    <xf numFmtId="167" fontId="5" fillId="6" borderId="0" xfId="2" applyNumberFormat="1" applyFont="1" applyFill="1" applyBorder="1"/>
    <xf numFmtId="3" fontId="5" fillId="6" borderId="2" xfId="0" applyNumberFormat="1" applyFont="1" applyFill="1" applyBorder="1"/>
    <xf numFmtId="3" fontId="5" fillId="6" borderId="0" xfId="0" applyNumberFormat="1" applyFont="1" applyFill="1" applyBorder="1"/>
    <xf numFmtId="1" fontId="19" fillId="6" borderId="0" xfId="0" applyNumberFormat="1" applyFont="1" applyFill="1"/>
    <xf numFmtId="165" fontId="5" fillId="6" borderId="2" xfId="0" applyNumberFormat="1" applyFont="1" applyFill="1" applyBorder="1"/>
    <xf numFmtId="165" fontId="5" fillId="6" borderId="1" xfId="0" applyNumberFormat="1" applyFont="1" applyFill="1" applyBorder="1"/>
    <xf numFmtId="3" fontId="5" fillId="5" borderId="2" xfId="0" applyNumberFormat="1" applyFont="1" applyFill="1" applyBorder="1"/>
    <xf numFmtId="165" fontId="5" fillId="5" borderId="1" xfId="0" applyNumberFormat="1" applyFont="1" applyFill="1" applyBorder="1"/>
    <xf numFmtId="3" fontId="5" fillId="5" borderId="0" xfId="0" applyNumberFormat="1" applyFont="1" applyFill="1" applyBorder="1"/>
    <xf numFmtId="3" fontId="5" fillId="5" borderId="1" xfId="0" applyNumberFormat="1" applyFont="1" applyFill="1" applyBorder="1"/>
    <xf numFmtId="0" fontId="5" fillId="2" borderId="1" xfId="0" applyFont="1" applyFill="1" applyBorder="1" applyAlignment="1">
      <alignment horizontal="right"/>
    </xf>
    <xf numFmtId="0" fontId="4" fillId="7" borderId="0" xfId="0" applyFont="1" applyFill="1" applyBorder="1"/>
    <xf numFmtId="0" fontId="5" fillId="7" borderId="0" xfId="0" applyFont="1" applyFill="1" applyBorder="1"/>
    <xf numFmtId="0" fontId="12" fillId="7" borderId="0" xfId="0" applyFont="1" applyFill="1" applyBorder="1"/>
    <xf numFmtId="165" fontId="5" fillId="7" borderId="0" xfId="0" applyNumberFormat="1" applyFont="1" applyFill="1" applyBorder="1"/>
    <xf numFmtId="0" fontId="7" fillId="2" borderId="0" xfId="0" applyFont="1" applyFill="1" applyBorder="1"/>
    <xf numFmtId="0" fontId="8" fillId="7" borderId="0" xfId="0" applyFont="1" applyFill="1" applyBorder="1"/>
    <xf numFmtId="0" fontId="8" fillId="7" borderId="0" xfId="0" applyFont="1" applyFill="1" applyBorder="1" applyAlignment="1">
      <alignment horizontal="center"/>
    </xf>
    <xf numFmtId="0" fontId="8" fillId="7" borderId="0" xfId="0" applyFont="1" applyFill="1" applyBorder="1" applyAlignment="1"/>
    <xf numFmtId="0" fontId="8" fillId="7" borderId="0" xfId="0" applyFont="1" applyFill="1" applyBorder="1" applyAlignment="1">
      <alignment horizontal="center" vertical="center"/>
    </xf>
    <xf numFmtId="12" fontId="5" fillId="2" borderId="0" xfId="0" applyNumberFormat="1" applyFont="1" applyFill="1" applyBorder="1" applyAlignment="1">
      <alignment horizontal="right"/>
    </xf>
    <xf numFmtId="0" fontId="5" fillId="2" borderId="0" xfId="0" applyFont="1" applyFill="1" applyBorder="1" applyAlignment="1"/>
    <xf numFmtId="0" fontId="16" fillId="7" borderId="0" xfId="0" applyFont="1" applyFill="1" applyBorder="1"/>
    <xf numFmtId="0" fontId="8" fillId="7" borderId="0" xfId="5" applyFont="1" applyFill="1" applyBorder="1" applyAlignment="1">
      <alignment horizontal="center" vertical="center"/>
    </xf>
    <xf numFmtId="0" fontId="4" fillId="4" borderId="0" xfId="0" applyFont="1" applyFill="1" applyBorder="1"/>
    <xf numFmtId="0" fontId="5" fillId="4" borderId="0" xfId="0" applyFont="1" applyFill="1" applyBorder="1"/>
    <xf numFmtId="0" fontId="12" fillId="4" borderId="0" xfId="0" applyFont="1" applyFill="1" applyBorder="1"/>
    <xf numFmtId="165" fontId="5" fillId="4" borderId="0" xfId="0" applyNumberFormat="1" applyFont="1" applyFill="1" applyBorder="1"/>
    <xf numFmtId="0" fontId="8" fillId="4" borderId="0" xfId="0" applyFont="1" applyFill="1" applyBorder="1"/>
    <xf numFmtId="0" fontId="8" fillId="4" borderId="0" xfId="0" applyFont="1" applyFill="1" applyBorder="1" applyAlignment="1">
      <alignment horizontal="center"/>
    </xf>
    <xf numFmtId="0" fontId="8" fillId="4" borderId="0" xfId="0" applyFont="1" applyFill="1" applyBorder="1" applyAlignment="1"/>
    <xf numFmtId="0" fontId="8" fillId="4" borderId="0" xfId="0" applyFont="1" applyFill="1" applyBorder="1" applyAlignment="1">
      <alignment horizontal="center" vertical="center"/>
    </xf>
    <xf numFmtId="1" fontId="5" fillId="4" borderId="0" xfId="0" applyNumberFormat="1" applyFont="1" applyFill="1" applyBorder="1"/>
    <xf numFmtId="0" fontId="5" fillId="4" borderId="0" xfId="0" applyFont="1" applyFill="1" applyBorder="1" applyAlignment="1">
      <alignment horizontal="right"/>
    </xf>
    <xf numFmtId="0" fontId="16" fillId="4" borderId="0" xfId="0" applyFont="1" applyFill="1" applyBorder="1"/>
    <xf numFmtId="0" fontId="8" fillId="4" borderId="0" xfId="5" applyFont="1" applyFill="1" applyBorder="1" applyAlignment="1">
      <alignment horizontal="center" vertical="center"/>
    </xf>
    <xf numFmtId="0" fontId="5" fillId="2" borderId="0" xfId="0" quotePrefix="1" applyFont="1" applyFill="1" applyBorder="1"/>
    <xf numFmtId="6" fontId="5" fillId="2" borderId="0" xfId="0" applyNumberFormat="1" applyFont="1" applyFill="1" applyBorder="1"/>
    <xf numFmtId="0" fontId="4" fillId="2" borderId="0" xfId="0" applyFont="1" applyFill="1" applyBorder="1" applyAlignment="1">
      <alignment horizontal="center"/>
    </xf>
    <xf numFmtId="0" fontId="5" fillId="2" borderId="0" xfId="0" applyFont="1" applyFill="1" applyBorder="1" applyAlignment="1">
      <alignment horizontal="center"/>
    </xf>
    <xf numFmtId="3" fontId="4" fillId="6" borderId="1" xfId="0" applyNumberFormat="1" applyFont="1" applyFill="1" applyBorder="1"/>
    <xf numFmtId="167" fontId="4" fillId="6" borderId="1" xfId="2" applyNumberFormat="1" applyFont="1" applyFill="1" applyBorder="1"/>
    <xf numFmtId="0" fontId="21" fillId="2" borderId="0" xfId="0" applyFont="1" applyFill="1" applyAlignment="1">
      <alignment horizontal="right"/>
    </xf>
    <xf numFmtId="167" fontId="5" fillId="6" borderId="0" xfId="0" applyNumberFormat="1" applyFont="1" applyFill="1" applyBorder="1" applyAlignment="1">
      <alignment horizontal="center" vertical="center"/>
    </xf>
    <xf numFmtId="169" fontId="5" fillId="6" borderId="0" xfId="0" applyNumberFormat="1" applyFont="1" applyFill="1" applyBorder="1" applyAlignment="1">
      <alignment horizontal="center" vertical="center"/>
    </xf>
    <xf numFmtId="0" fontId="4" fillId="2" borderId="0" xfId="0" applyFont="1" applyFill="1" applyBorder="1" applyAlignment="1">
      <alignment horizontal="center" vertical="center"/>
    </xf>
    <xf numFmtId="0" fontId="24" fillId="0" borderId="0" xfId="0" applyFont="1" applyAlignment="1">
      <alignment horizontal="right"/>
    </xf>
    <xf numFmtId="0" fontId="23" fillId="2" borderId="0" xfId="0" applyFont="1" applyFill="1" applyBorder="1" applyAlignment="1">
      <alignment horizontal="right"/>
    </xf>
    <xf numFmtId="0" fontId="5" fillId="10" borderId="0" xfId="0" applyFont="1" applyFill="1"/>
    <xf numFmtId="0" fontId="5" fillId="10" borderId="0" xfId="0" applyFont="1" applyFill="1" applyAlignment="1">
      <alignment horizontal="right"/>
    </xf>
    <xf numFmtId="0" fontId="4" fillId="10" borderId="0" xfId="0" applyFont="1" applyFill="1"/>
    <xf numFmtId="0" fontId="5" fillId="9" borderId="0" xfId="0" applyFont="1" applyFill="1"/>
    <xf numFmtId="0" fontId="4" fillId="9" borderId="0" xfId="0" applyFont="1" applyFill="1"/>
    <xf numFmtId="0" fontId="5" fillId="9" borderId="0" xfId="0" applyFont="1" applyFill="1" applyAlignment="1">
      <alignment horizontal="right"/>
    </xf>
    <xf numFmtId="0" fontId="5" fillId="2" borderId="0" xfId="0" applyFont="1" applyFill="1" applyAlignment="1">
      <alignment horizontal="center"/>
    </xf>
    <xf numFmtId="9" fontId="5" fillId="11" borderId="0" xfId="1" applyFont="1" applyFill="1"/>
    <xf numFmtId="0" fontId="4" fillId="2" borderId="0" xfId="0" applyFont="1" applyFill="1" applyBorder="1" applyAlignment="1">
      <alignment horizontal="right"/>
    </xf>
    <xf numFmtId="0" fontId="24" fillId="2" borderId="0" xfId="0" applyFont="1" applyFill="1" applyAlignment="1">
      <alignment horizontal="right"/>
    </xf>
    <xf numFmtId="0" fontId="25" fillId="2" borderId="0" xfId="0" applyFont="1" applyFill="1"/>
    <xf numFmtId="0" fontId="22" fillId="0" borderId="0" xfId="0" applyFont="1" applyFill="1" applyBorder="1" applyAlignment="1"/>
    <xf numFmtId="0" fontId="18" fillId="2" borderId="0" xfId="0" applyFont="1" applyFill="1" applyBorder="1"/>
    <xf numFmtId="0" fontId="26" fillId="2" borderId="0" xfId="0" applyFont="1" applyFill="1"/>
    <xf numFmtId="0" fontId="5" fillId="10" borderId="2" xfId="0" applyFont="1" applyFill="1" applyBorder="1"/>
    <xf numFmtId="0" fontId="5" fillId="10" borderId="1" xfId="0" applyFont="1" applyFill="1" applyBorder="1"/>
    <xf numFmtId="0" fontId="5" fillId="10" borderId="0" xfId="0" applyFont="1" applyFill="1" applyBorder="1"/>
    <xf numFmtId="0" fontId="19" fillId="10" borderId="0" xfId="0" applyFont="1" applyFill="1" applyAlignment="1">
      <alignment horizontal="left"/>
    </xf>
    <xf numFmtId="0" fontId="5" fillId="9" borderId="2" xfId="0" applyFont="1" applyFill="1" applyBorder="1"/>
    <xf numFmtId="0" fontId="5" fillId="9" borderId="1" xfId="0" applyFont="1" applyFill="1" applyBorder="1"/>
    <xf numFmtId="0" fontId="5" fillId="9" borderId="0" xfId="0" applyFont="1" applyFill="1" applyBorder="1"/>
    <xf numFmtId="0" fontId="19" fillId="9" borderId="0" xfId="0" applyFont="1" applyFill="1" applyAlignment="1">
      <alignment horizontal="left"/>
    </xf>
    <xf numFmtId="0" fontId="27" fillId="2" borderId="0" xfId="8" applyFill="1" applyBorder="1"/>
    <xf numFmtId="9" fontId="5" fillId="2" borderId="0" xfId="1" applyFont="1" applyFill="1" applyAlignment="1">
      <alignment horizontal="center"/>
    </xf>
    <xf numFmtId="9" fontId="4" fillId="2" borderId="0" xfId="1" applyFont="1" applyFill="1" applyAlignment="1">
      <alignment horizontal="center"/>
    </xf>
    <xf numFmtId="167" fontId="5" fillId="2" borderId="0" xfId="0" applyNumberFormat="1" applyFont="1" applyFill="1" applyAlignment="1">
      <alignment horizontal="center"/>
    </xf>
    <xf numFmtId="167" fontId="4" fillId="2" borderId="0" xfId="0" applyNumberFormat="1" applyFont="1" applyFill="1" applyAlignment="1">
      <alignment horizontal="center"/>
    </xf>
    <xf numFmtId="0" fontId="18" fillId="7" borderId="0" xfId="0" applyFont="1" applyFill="1" applyBorder="1"/>
    <xf numFmtId="0" fontId="18" fillId="4" borderId="0" xfId="0" applyFont="1" applyFill="1" applyBorder="1"/>
    <xf numFmtId="0" fontId="5" fillId="3" borderId="0" xfId="0" applyFont="1" applyFill="1" applyBorder="1"/>
    <xf numFmtId="165" fontId="5" fillId="3" borderId="0" xfId="0" applyNumberFormat="1" applyFont="1" applyFill="1" applyBorder="1"/>
    <xf numFmtId="2" fontId="12" fillId="3" borderId="0" xfId="0" applyNumberFormat="1" applyFont="1" applyFill="1" applyBorder="1"/>
    <xf numFmtId="2" fontId="5" fillId="3" borderId="0" xfId="0" applyNumberFormat="1" applyFont="1" applyFill="1" applyBorder="1"/>
    <xf numFmtId="1" fontId="5" fillId="3" borderId="0" xfId="0" applyNumberFormat="1" applyFont="1" applyFill="1" applyBorder="1"/>
    <xf numFmtId="1" fontId="12" fillId="3" borderId="0" xfId="0" applyNumberFormat="1" applyFont="1" applyFill="1" applyBorder="1"/>
    <xf numFmtId="0" fontId="4" fillId="3" borderId="0" xfId="0" applyFont="1" applyFill="1" applyBorder="1"/>
    <xf numFmtId="164" fontId="5" fillId="3" borderId="0" xfId="0" applyNumberFormat="1" applyFont="1" applyFill="1" applyBorder="1"/>
    <xf numFmtId="9" fontId="5" fillId="3" borderId="0" xfId="1" applyFont="1" applyFill="1" applyBorder="1"/>
    <xf numFmtId="0" fontId="5" fillId="3" borderId="0" xfId="0" applyNumberFormat="1" applyFont="1" applyFill="1" applyBorder="1"/>
    <xf numFmtId="164" fontId="5" fillId="3" borderId="0" xfId="1" applyNumberFormat="1" applyFont="1" applyFill="1" applyBorder="1"/>
    <xf numFmtId="9" fontId="5" fillId="3" borderId="0" xfId="0" applyNumberFormat="1" applyFont="1" applyFill="1" applyBorder="1"/>
    <xf numFmtId="0" fontId="5" fillId="3" borderId="0" xfId="0" applyFont="1" applyFill="1" applyBorder="1" applyAlignment="1">
      <alignment horizontal="right"/>
    </xf>
    <xf numFmtId="166" fontId="5" fillId="3" borderId="0" xfId="0" applyNumberFormat="1" applyFont="1" applyFill="1" applyBorder="1"/>
    <xf numFmtId="0" fontId="4" fillId="3" borderId="0" xfId="0" applyFont="1" applyFill="1" applyBorder="1" applyAlignment="1">
      <alignment horizontal="left"/>
    </xf>
    <xf numFmtId="0" fontId="8" fillId="3" borderId="0" xfId="0" applyFont="1" applyFill="1" applyBorder="1" applyAlignment="1">
      <alignment horizontal="left"/>
    </xf>
    <xf numFmtId="0" fontId="5" fillId="2" borderId="1" xfId="0" applyFont="1" applyFill="1" applyBorder="1" applyAlignment="1">
      <alignment horizontal="center"/>
    </xf>
    <xf numFmtId="0" fontId="5" fillId="7" borderId="0" xfId="0" applyFont="1" applyFill="1" applyBorder="1" applyAlignment="1">
      <alignment horizontal="center"/>
    </xf>
    <xf numFmtId="0" fontId="12" fillId="7" borderId="0" xfId="0" applyFont="1" applyFill="1" applyBorder="1" applyAlignment="1">
      <alignment horizontal="center"/>
    </xf>
    <xf numFmtId="2" fontId="5" fillId="7" borderId="0" xfId="0" applyNumberFormat="1" applyFont="1" applyFill="1" applyBorder="1" applyAlignment="1">
      <alignment horizontal="center"/>
    </xf>
    <xf numFmtId="9" fontId="5" fillId="7" borderId="0" xfId="0" applyNumberFormat="1" applyFont="1" applyFill="1" applyBorder="1" applyAlignment="1">
      <alignment horizontal="center"/>
    </xf>
    <xf numFmtId="166" fontId="12" fillId="7" borderId="0" xfId="0" applyNumberFormat="1" applyFont="1" applyFill="1" applyBorder="1" applyAlignment="1">
      <alignment horizontal="center"/>
    </xf>
    <xf numFmtId="165" fontId="5" fillId="7" borderId="0" xfId="0" applyNumberFormat="1" applyFont="1" applyFill="1" applyBorder="1" applyAlignment="1">
      <alignment horizontal="center"/>
    </xf>
    <xf numFmtId="0" fontId="13" fillId="7" borderId="0" xfId="0" applyFont="1" applyFill="1" applyBorder="1" applyAlignment="1">
      <alignment horizontal="center"/>
    </xf>
    <xf numFmtId="165" fontId="12" fillId="7" borderId="0" xfId="0" applyNumberFormat="1" applyFont="1" applyFill="1" applyBorder="1" applyAlignment="1">
      <alignment horizontal="center"/>
    </xf>
    <xf numFmtId="0" fontId="12" fillId="7" borderId="0" xfId="0" applyFont="1" applyFill="1" applyBorder="1" applyAlignment="1">
      <alignment horizontal="center" vertical="center"/>
    </xf>
    <xf numFmtId="0" fontId="5" fillId="7" borderId="0" xfId="0" applyFont="1" applyFill="1" applyBorder="1" applyAlignment="1">
      <alignment horizontal="center" vertical="center"/>
    </xf>
    <xf numFmtId="0" fontId="4" fillId="7" borderId="0" xfId="0" applyFont="1" applyFill="1" applyBorder="1" applyAlignment="1">
      <alignment horizontal="center"/>
    </xf>
    <xf numFmtId="0" fontId="5" fillId="7" borderId="0" xfId="1" applyNumberFormat="1" applyFont="1" applyFill="1" applyBorder="1" applyAlignment="1">
      <alignment horizontal="center"/>
    </xf>
    <xf numFmtId="1" fontId="5" fillId="7" borderId="0" xfId="0" applyNumberFormat="1" applyFont="1" applyFill="1" applyBorder="1" applyAlignment="1">
      <alignment horizontal="center"/>
    </xf>
    <xf numFmtId="164" fontId="5" fillId="7" borderId="0" xfId="0" applyNumberFormat="1" applyFont="1" applyFill="1" applyBorder="1" applyAlignment="1">
      <alignment horizontal="center"/>
    </xf>
    <xf numFmtId="0" fontId="16" fillId="7" borderId="0" xfId="0" applyFont="1" applyFill="1" applyBorder="1" applyAlignment="1">
      <alignment horizontal="center"/>
    </xf>
    <xf numFmtId="1" fontId="16" fillId="7" borderId="0" xfId="0" applyNumberFormat="1" applyFont="1" applyFill="1" applyBorder="1" applyAlignment="1">
      <alignment horizontal="center"/>
    </xf>
    <xf numFmtId="1" fontId="4" fillId="7" borderId="0" xfId="0" applyNumberFormat="1" applyFont="1" applyFill="1" applyBorder="1" applyAlignment="1">
      <alignment horizontal="center"/>
    </xf>
    <xf numFmtId="0" fontId="12" fillId="7" borderId="0" xfId="5" applyFont="1" applyFill="1" applyBorder="1" applyAlignment="1">
      <alignment horizontal="center" vertical="center"/>
    </xf>
    <xf numFmtId="9" fontId="5" fillId="7" borderId="0" xfId="1" applyFont="1" applyFill="1" applyBorder="1" applyAlignment="1">
      <alignment horizontal="center"/>
    </xf>
    <xf numFmtId="0" fontId="5" fillId="4" borderId="0" xfId="0" applyFont="1" applyFill="1" applyBorder="1" applyAlignment="1">
      <alignment horizontal="center"/>
    </xf>
    <xf numFmtId="0" fontId="12" fillId="4" borderId="0" xfId="0" applyFont="1" applyFill="1" applyBorder="1" applyAlignment="1">
      <alignment horizontal="center"/>
    </xf>
    <xf numFmtId="2" fontId="5" fillId="4" borderId="0" xfId="0" applyNumberFormat="1" applyFont="1" applyFill="1" applyBorder="1" applyAlignment="1">
      <alignment horizontal="center"/>
    </xf>
    <xf numFmtId="9" fontId="5" fillId="4" borderId="0" xfId="0" applyNumberFormat="1" applyFont="1" applyFill="1" applyBorder="1" applyAlignment="1">
      <alignment horizontal="center"/>
    </xf>
    <xf numFmtId="166" fontId="12" fillId="4" borderId="0" xfId="0" applyNumberFormat="1" applyFont="1" applyFill="1" applyBorder="1" applyAlignment="1">
      <alignment horizontal="center"/>
    </xf>
    <xf numFmtId="165" fontId="5" fillId="4" borderId="0" xfId="0" applyNumberFormat="1" applyFont="1" applyFill="1" applyBorder="1" applyAlignment="1">
      <alignment horizontal="center"/>
    </xf>
    <xf numFmtId="0" fontId="13" fillId="4" borderId="0" xfId="0" applyFont="1" applyFill="1" applyBorder="1" applyAlignment="1">
      <alignment horizontal="center"/>
    </xf>
    <xf numFmtId="165" fontId="12" fillId="4" borderId="0" xfId="0" applyNumberFormat="1" applyFont="1" applyFill="1" applyBorder="1" applyAlignment="1">
      <alignment horizontal="center"/>
    </xf>
    <xf numFmtId="0" fontId="12" fillId="4" borderId="0" xfId="0" applyFont="1" applyFill="1" applyBorder="1" applyAlignment="1">
      <alignment horizontal="center" vertical="center"/>
    </xf>
    <xf numFmtId="0" fontId="5" fillId="4" borderId="0" xfId="0" applyFont="1" applyFill="1" applyBorder="1" applyAlignment="1">
      <alignment horizontal="center" vertical="center"/>
    </xf>
    <xf numFmtId="0" fontId="4" fillId="4" borderId="0" xfId="0" applyFont="1" applyFill="1" applyBorder="1" applyAlignment="1">
      <alignment horizontal="center"/>
    </xf>
    <xf numFmtId="0" fontId="5" fillId="4" borderId="0" xfId="1" applyNumberFormat="1" applyFont="1" applyFill="1" applyBorder="1" applyAlignment="1">
      <alignment horizontal="center"/>
    </xf>
    <xf numFmtId="1" fontId="5" fillId="4" borderId="0" xfId="0" applyNumberFormat="1" applyFont="1" applyFill="1" applyBorder="1" applyAlignment="1">
      <alignment horizontal="center"/>
    </xf>
    <xf numFmtId="164" fontId="5" fillId="4" borderId="0" xfId="0" applyNumberFormat="1" applyFont="1" applyFill="1" applyBorder="1" applyAlignment="1">
      <alignment horizontal="center"/>
    </xf>
    <xf numFmtId="0" fontId="16" fillId="4" borderId="0" xfId="0" applyFont="1" applyFill="1" applyBorder="1" applyAlignment="1">
      <alignment horizontal="center"/>
    </xf>
    <xf numFmtId="1" fontId="16" fillId="4" borderId="0" xfId="0" applyNumberFormat="1" applyFont="1" applyFill="1" applyBorder="1" applyAlignment="1">
      <alignment horizontal="center"/>
    </xf>
    <xf numFmtId="1" fontId="4" fillId="4" borderId="0" xfId="0" applyNumberFormat="1" applyFont="1" applyFill="1" applyBorder="1" applyAlignment="1">
      <alignment horizontal="center"/>
    </xf>
    <xf numFmtId="0" fontId="12" fillId="4" borderId="0" xfId="5" applyFont="1" applyFill="1" applyBorder="1" applyAlignment="1">
      <alignment horizontal="center" vertical="center"/>
    </xf>
    <xf numFmtId="9" fontId="5" fillId="4" borderId="0" xfId="1" applyFont="1" applyFill="1" applyBorder="1" applyAlignment="1">
      <alignment horizontal="center"/>
    </xf>
    <xf numFmtId="167" fontId="5" fillId="4" borderId="0" xfId="0" applyNumberFormat="1" applyFont="1" applyFill="1" applyBorder="1"/>
    <xf numFmtId="0" fontId="17" fillId="2" borderId="0" xfId="0" applyFont="1" applyFill="1" applyAlignment="1">
      <alignment horizontal="left"/>
    </xf>
    <xf numFmtId="0" fontId="17" fillId="2" borderId="0" xfId="0" applyFont="1" applyFill="1" applyAlignment="1">
      <alignment horizontal="left" vertical="top"/>
    </xf>
    <xf numFmtId="0" fontId="5" fillId="3" borderId="0" xfId="0" applyFont="1" applyFill="1" applyBorder="1" applyAlignment="1">
      <alignment horizontal="center"/>
    </xf>
    <xf numFmtId="0" fontId="19" fillId="3" borderId="0" xfId="0" applyFont="1" applyFill="1" applyBorder="1"/>
    <xf numFmtId="6" fontId="5" fillId="8" borderId="0" xfId="0" applyNumberFormat="1" applyFont="1" applyFill="1" applyBorder="1" applyAlignment="1">
      <alignment horizontal="center" vertical="center"/>
    </xf>
    <xf numFmtId="6" fontId="5" fillId="9" borderId="0" xfId="0" applyNumberFormat="1" applyFont="1" applyFill="1" applyBorder="1" applyAlignment="1">
      <alignment horizontal="center" vertical="center"/>
    </xf>
    <xf numFmtId="6" fontId="16" fillId="6" borderId="0" xfId="0" applyNumberFormat="1" applyFont="1" applyFill="1" applyBorder="1" applyAlignment="1">
      <alignment horizontal="center" vertical="center"/>
    </xf>
    <xf numFmtId="165" fontId="16" fillId="6" borderId="0" xfId="0" applyNumberFormat="1" applyFont="1" applyFill="1" applyBorder="1" applyAlignment="1">
      <alignment horizontal="center" vertical="center"/>
    </xf>
    <xf numFmtId="0" fontId="4" fillId="2" borderId="14" xfId="0" applyFont="1" applyFill="1" applyBorder="1"/>
    <xf numFmtId="167" fontId="5" fillId="3" borderId="0" xfId="0" applyNumberFormat="1" applyFont="1" applyFill="1"/>
    <xf numFmtId="165" fontId="5" fillId="3" borderId="0" xfId="0" applyNumberFormat="1" applyFont="1" applyFill="1"/>
    <xf numFmtId="0" fontId="5" fillId="3" borderId="0" xfId="0" applyFont="1" applyFill="1" applyAlignment="1">
      <alignment horizontal="right"/>
    </xf>
    <xf numFmtId="167" fontId="4" fillId="3" borderId="0" xfId="0" applyNumberFormat="1" applyFont="1" applyFill="1"/>
    <xf numFmtId="0" fontId="4" fillId="3" borderId="2" xfId="0" applyFont="1" applyFill="1" applyBorder="1" applyAlignment="1">
      <alignment horizontal="center" vertical="center"/>
    </xf>
    <xf numFmtId="0" fontId="16" fillId="3" borderId="0" xfId="0" applyFont="1" applyFill="1" applyBorder="1" applyAlignment="1">
      <alignment horizontal="center" vertical="center" wrapText="1"/>
    </xf>
    <xf numFmtId="0" fontId="5" fillId="3" borderId="0" xfId="0" applyFont="1" applyFill="1" applyBorder="1" applyAlignment="1">
      <alignment horizontal="center" vertical="center"/>
    </xf>
    <xf numFmtId="0" fontId="4" fillId="3" borderId="0" xfId="0" applyFont="1" applyFill="1" applyBorder="1" applyAlignment="1">
      <alignment horizontal="center" vertical="center"/>
    </xf>
    <xf numFmtId="0" fontId="27" fillId="2" borderId="0" xfId="8" applyFont="1" applyFill="1" applyBorder="1"/>
    <xf numFmtId="0" fontId="27" fillId="2" borderId="1" xfId="8" applyFill="1" applyBorder="1"/>
    <xf numFmtId="0" fontId="8" fillId="3" borderId="0" xfId="0" applyFont="1" applyFill="1" applyBorder="1"/>
    <xf numFmtId="168" fontId="12" fillId="3" borderId="0" xfId="7" applyNumberFormat="1" applyFont="1" applyFill="1" applyBorder="1"/>
    <xf numFmtId="168" fontId="12" fillId="3" borderId="0" xfId="7" applyNumberFormat="1" applyFont="1" applyFill="1" applyBorder="1" applyAlignment="1">
      <alignment horizontal="center"/>
    </xf>
    <xf numFmtId="0" fontId="27" fillId="2" borderId="0" xfId="8" applyFill="1"/>
    <xf numFmtId="0" fontId="25" fillId="2" borderId="0" xfId="0" applyFont="1" applyFill="1" applyBorder="1"/>
    <xf numFmtId="0" fontId="5" fillId="3" borderId="0" xfId="0" applyFont="1" applyFill="1" applyAlignment="1">
      <alignment horizontal="left"/>
    </xf>
    <xf numFmtId="0" fontId="12" fillId="3" borderId="0" xfId="0" applyFont="1" applyFill="1" applyBorder="1"/>
    <xf numFmtId="168" fontId="5" fillId="2" borderId="0" xfId="0" applyNumberFormat="1" applyFont="1" applyFill="1" applyBorder="1"/>
    <xf numFmtId="0" fontId="4" fillId="3" borderId="0" xfId="0" applyFont="1" applyFill="1" applyAlignment="1">
      <alignment vertical="center"/>
    </xf>
    <xf numFmtId="0" fontId="8" fillId="2" borderId="0" xfId="0" applyFont="1" applyFill="1" applyBorder="1" applyAlignment="1">
      <alignment vertical="center" wrapText="1"/>
    </xf>
    <xf numFmtId="0" fontId="5" fillId="3" borderId="0" xfId="0" applyFont="1" applyFill="1" applyAlignment="1">
      <alignment horizontal="center"/>
    </xf>
    <xf numFmtId="1" fontId="5" fillId="3" borderId="0" xfId="0" applyNumberFormat="1" applyFont="1" applyFill="1" applyAlignment="1">
      <alignment horizontal="center"/>
    </xf>
    <xf numFmtId="1" fontId="5" fillId="2" borderId="0" xfId="0" applyNumberFormat="1" applyFont="1" applyFill="1" applyAlignment="1">
      <alignment horizontal="center"/>
    </xf>
    <xf numFmtId="165" fontId="5" fillId="2" borderId="0" xfId="0" applyNumberFormat="1" applyFont="1" applyFill="1" applyAlignment="1">
      <alignment horizontal="center"/>
    </xf>
    <xf numFmtId="168" fontId="5" fillId="2" borderId="0" xfId="0" applyNumberFormat="1" applyFont="1" applyFill="1"/>
    <xf numFmtId="0" fontId="4" fillId="3" borderId="0" xfId="0" applyFont="1" applyFill="1" applyAlignment="1">
      <alignment horizontal="center" vertical="center"/>
    </xf>
    <xf numFmtId="0" fontId="5" fillId="3" borderId="0" xfId="0" applyFont="1" applyFill="1" applyAlignment="1">
      <alignment horizontal="center" vertical="center"/>
    </xf>
    <xf numFmtId="0" fontId="8" fillId="2" borderId="0" xfId="0" applyFont="1" applyFill="1" applyBorder="1" applyAlignment="1">
      <alignment vertical="center"/>
    </xf>
    <xf numFmtId="0" fontId="25" fillId="2" borderId="1" xfId="0" applyFont="1" applyFill="1" applyBorder="1"/>
    <xf numFmtId="167" fontId="5" fillId="2" borderId="0" xfId="0" applyNumberFormat="1" applyFont="1" applyFill="1" applyBorder="1"/>
    <xf numFmtId="0" fontId="5" fillId="2" borderId="0" xfId="0" applyFont="1" applyFill="1" applyBorder="1" applyAlignment="1">
      <alignment horizontal="left"/>
    </xf>
    <xf numFmtId="0" fontId="4" fillId="2" borderId="0" xfId="0" applyFont="1" applyFill="1" applyAlignment="1">
      <alignment horizontal="center"/>
    </xf>
    <xf numFmtId="0" fontId="28" fillId="3" borderId="2" xfId="0" applyFont="1" applyFill="1" applyBorder="1" applyAlignment="1">
      <alignment horizontal="center" vertical="center" wrapText="1"/>
    </xf>
    <xf numFmtId="165" fontId="5" fillId="12" borderId="3" xfId="0" applyNumberFormat="1" applyFont="1" applyFill="1" applyBorder="1"/>
    <xf numFmtId="2" fontId="5" fillId="12" borderId="4" xfId="0" applyNumberFormat="1" applyFont="1" applyFill="1" applyBorder="1"/>
    <xf numFmtId="2" fontId="5" fillId="12" borderId="5" xfId="0" applyNumberFormat="1" applyFont="1" applyFill="1" applyBorder="1"/>
    <xf numFmtId="2" fontId="5" fillId="12" borderId="6" xfId="0" applyNumberFormat="1" applyFont="1" applyFill="1" applyBorder="1"/>
    <xf numFmtId="0" fontId="5" fillId="12" borderId="0" xfId="0" applyFont="1" applyFill="1"/>
    <xf numFmtId="0" fontId="5" fillId="12" borderId="3" xfId="0" applyNumberFormat="1" applyFont="1" applyFill="1" applyBorder="1" applyAlignment="1">
      <alignment horizontal="left"/>
    </xf>
    <xf numFmtId="0" fontId="5" fillId="12" borderId="4" xfId="0" applyNumberFormat="1" applyFont="1" applyFill="1" applyBorder="1"/>
    <xf numFmtId="2" fontId="5" fillId="12" borderId="0" xfId="0" applyNumberFormat="1" applyFont="1" applyFill="1"/>
    <xf numFmtId="0" fontId="5" fillId="12" borderId="5" xfId="0" applyNumberFormat="1" applyFont="1" applyFill="1" applyBorder="1"/>
    <xf numFmtId="0" fontId="5" fillId="12" borderId="6" xfId="0" applyNumberFormat="1" applyFont="1" applyFill="1" applyBorder="1"/>
    <xf numFmtId="0" fontId="5" fillId="12" borderId="3" xfId="0" applyNumberFormat="1" applyFont="1" applyFill="1" applyBorder="1"/>
    <xf numFmtId="9" fontId="5" fillId="12" borderId="0" xfId="1" applyFont="1" applyFill="1"/>
    <xf numFmtId="9" fontId="5" fillId="12" borderId="0" xfId="0" applyNumberFormat="1" applyFont="1" applyFill="1"/>
    <xf numFmtId="164" fontId="5" fillId="12" borderId="0" xfId="0" applyNumberFormat="1" applyFont="1" applyFill="1" applyBorder="1"/>
    <xf numFmtId="0" fontId="5" fillId="12" borderId="0" xfId="0" applyFont="1" applyFill="1" applyBorder="1"/>
    <xf numFmtId="2" fontId="5" fillId="3" borderId="0" xfId="0" applyNumberFormat="1" applyFont="1" applyFill="1" applyAlignment="1">
      <alignment horizontal="center"/>
    </xf>
    <xf numFmtId="0" fontId="5" fillId="4" borderId="0" xfId="0" applyFont="1" applyFill="1"/>
    <xf numFmtId="0" fontId="29" fillId="2" borderId="0" xfId="0" applyFont="1" applyFill="1" applyBorder="1" applyAlignment="1">
      <alignment horizontal="left"/>
    </xf>
    <xf numFmtId="0" fontId="29" fillId="2" borderId="0" xfId="0" applyFont="1" applyFill="1"/>
    <xf numFmtId="0" fontId="29" fillId="2" borderId="0" xfId="0" applyFont="1" applyFill="1" applyBorder="1"/>
    <xf numFmtId="0" fontId="29" fillId="2" borderId="0" xfId="0" applyFont="1" applyFill="1" applyBorder="1" applyAlignment="1">
      <alignment horizontal="right"/>
    </xf>
    <xf numFmtId="168" fontId="29" fillId="2" borderId="0" xfId="0" applyNumberFormat="1" applyFont="1" applyFill="1" applyBorder="1"/>
    <xf numFmtId="2" fontId="25" fillId="2" borderId="0" xfId="0" applyNumberFormat="1" applyFont="1" applyFill="1"/>
    <xf numFmtId="0" fontId="4" fillId="2" borderId="0" xfId="0" applyFont="1" applyFill="1"/>
    <xf numFmtId="0" fontId="5" fillId="2" borderId="0" xfId="0" applyFont="1" applyFill="1" applyAlignment="1">
      <alignment wrapText="1"/>
    </xf>
    <xf numFmtId="0" fontId="30" fillId="2" borderId="0" xfId="0" applyFont="1" applyFill="1"/>
    <xf numFmtId="0" fontId="5" fillId="12" borderId="4" xfId="0" applyFont="1" applyFill="1" applyBorder="1"/>
    <xf numFmtId="0" fontId="5" fillId="12" borderId="5" xfId="0" applyFont="1" applyFill="1" applyBorder="1"/>
    <xf numFmtId="0" fontId="5" fillId="12" borderId="6" xfId="0" applyFont="1" applyFill="1" applyBorder="1"/>
    <xf numFmtId="1" fontId="5" fillId="12" borderId="4" xfId="0" applyNumberFormat="1" applyFont="1" applyFill="1" applyBorder="1"/>
    <xf numFmtId="1" fontId="5" fillId="12" borderId="5" xfId="0" applyNumberFormat="1" applyFont="1" applyFill="1" applyBorder="1"/>
    <xf numFmtId="3" fontId="5" fillId="12" borderId="5" xfId="0" applyNumberFormat="1" applyFont="1" applyFill="1" applyBorder="1"/>
    <xf numFmtId="170" fontId="12" fillId="7" borderId="0" xfId="0" applyNumberFormat="1" applyFont="1" applyFill="1" applyBorder="1" applyAlignment="1">
      <alignment horizontal="center"/>
    </xf>
    <xf numFmtId="170" fontId="12" fillId="4" borderId="0" xfId="0" applyNumberFormat="1" applyFont="1" applyFill="1" applyBorder="1" applyAlignment="1">
      <alignment horizontal="center"/>
    </xf>
    <xf numFmtId="166" fontId="5" fillId="7" borderId="0" xfId="0" applyNumberFormat="1" applyFont="1" applyFill="1" applyBorder="1" applyAlignment="1">
      <alignment horizontal="center"/>
    </xf>
    <xf numFmtId="0" fontId="5" fillId="2" borderId="0" xfId="0" applyFont="1" applyFill="1" applyBorder="1" applyAlignment="1">
      <alignment horizontal="left"/>
    </xf>
    <xf numFmtId="0" fontId="5" fillId="2" borderId="0" xfId="0" applyFont="1" applyFill="1" applyBorder="1" applyAlignment="1">
      <alignment horizontal="left"/>
    </xf>
    <xf numFmtId="0" fontId="4" fillId="2" borderId="0" xfId="0" applyFont="1" applyFill="1" applyBorder="1" applyAlignment="1">
      <alignment horizontal="left"/>
    </xf>
    <xf numFmtId="0" fontId="31" fillId="2" borderId="0" xfId="8" applyFont="1" applyFill="1" applyBorder="1" applyAlignment="1"/>
    <xf numFmtId="0" fontId="27" fillId="2" borderId="0" xfId="8" applyFill="1" applyBorder="1" applyAlignment="1"/>
    <xf numFmtId="0" fontId="32" fillId="12" borderId="0" xfId="0" applyFont="1" applyFill="1" applyBorder="1" applyAlignment="1">
      <alignment horizontal="left" vertical="center"/>
    </xf>
    <xf numFmtId="0" fontId="32" fillId="2" borderId="0" xfId="0" applyFont="1" applyFill="1" applyBorder="1"/>
    <xf numFmtId="171" fontId="5" fillId="2" borderId="0" xfId="0" applyNumberFormat="1" applyFont="1" applyFill="1" applyBorder="1" applyAlignment="1">
      <alignment horizontal="left"/>
    </xf>
    <xf numFmtId="2" fontId="4" fillId="3" borderId="0" xfId="0" applyNumberFormat="1" applyFont="1" applyFill="1" applyBorder="1"/>
    <xf numFmtId="2" fontId="12" fillId="3" borderId="0" xfId="0" applyNumberFormat="1" applyFont="1" applyFill="1"/>
    <xf numFmtId="2" fontId="5" fillId="3" borderId="0" xfId="0" applyNumberFormat="1" applyFont="1" applyFill="1"/>
    <xf numFmtId="0" fontId="4" fillId="3" borderId="2" xfId="0" applyFont="1" applyFill="1" applyBorder="1" applyAlignment="1">
      <alignment horizontal="center" vertical="center" wrapText="1"/>
    </xf>
    <xf numFmtId="1" fontId="5" fillId="12" borderId="6" xfId="0" applyNumberFormat="1" applyFont="1" applyFill="1" applyBorder="1"/>
    <xf numFmtId="0" fontId="4" fillId="3" borderId="0" xfId="0" applyFont="1" applyFill="1" applyAlignment="1">
      <alignment horizontal="center" vertical="center" wrapText="1"/>
    </xf>
    <xf numFmtId="0" fontId="4" fillId="3" borderId="0" xfId="0" applyFont="1" applyFill="1"/>
    <xf numFmtId="0" fontId="5" fillId="0" borderId="0" xfId="0" applyFont="1"/>
    <xf numFmtId="10" fontId="5" fillId="0" borderId="0" xfId="0" applyNumberFormat="1" applyFont="1"/>
    <xf numFmtId="166" fontId="5" fillId="0" borderId="0" xfId="0" applyNumberFormat="1" applyFont="1"/>
    <xf numFmtId="164" fontId="5" fillId="0" borderId="0" xfId="0" applyNumberFormat="1" applyFont="1"/>
    <xf numFmtId="167" fontId="5" fillId="0" borderId="0" xfId="2" applyNumberFormat="1" applyFont="1"/>
    <xf numFmtId="167" fontId="5" fillId="0" borderId="0" xfId="0" applyNumberFormat="1" applyFont="1"/>
    <xf numFmtId="9" fontId="5" fillId="12" borderId="6" xfId="1" applyFont="1" applyFill="1" applyBorder="1"/>
    <xf numFmtId="0" fontId="5" fillId="2" borderId="15" xfId="0" applyFont="1" applyFill="1" applyBorder="1"/>
    <xf numFmtId="172" fontId="5" fillId="2" borderId="0" xfId="0" applyNumberFormat="1" applyFont="1" applyFill="1"/>
    <xf numFmtId="1" fontId="5" fillId="0" borderId="0" xfId="0" applyNumberFormat="1" applyFont="1"/>
    <xf numFmtId="0" fontId="4" fillId="0" borderId="0" xfId="0" applyFont="1"/>
    <xf numFmtId="0" fontId="4" fillId="0" borderId="0" xfId="0" applyFont="1" applyAlignment="1">
      <alignment horizontal="left" wrapText="1"/>
    </xf>
    <xf numFmtId="3" fontId="5" fillId="2" borderId="0" xfId="0" applyNumberFormat="1" applyFont="1" applyFill="1" applyBorder="1"/>
    <xf numFmtId="9" fontId="12" fillId="12" borderId="0" xfId="0" applyNumberFormat="1" applyFont="1" applyFill="1" applyBorder="1"/>
    <xf numFmtId="0" fontId="12" fillId="12" borderId="0" xfId="0" applyFont="1" applyFill="1" applyBorder="1"/>
    <xf numFmtId="0" fontId="35" fillId="0" borderId="16" xfId="0" applyFont="1" applyBorder="1" applyAlignment="1">
      <alignment horizontal="right"/>
    </xf>
    <xf numFmtId="0" fontId="35" fillId="0" borderId="16" xfId="0" applyFont="1" applyBorder="1"/>
    <xf numFmtId="0" fontId="27" fillId="0" borderId="16" xfId="8" applyBorder="1" applyAlignment="1"/>
    <xf numFmtId="0" fontId="35" fillId="0" borderId="16" xfId="0" applyFont="1" applyBorder="1" applyAlignment="1">
      <alignment horizontal="center"/>
    </xf>
    <xf numFmtId="165" fontId="5" fillId="3" borderId="0" xfId="0" applyNumberFormat="1" applyFont="1" applyFill="1" applyAlignment="1">
      <alignment horizontal="center"/>
    </xf>
    <xf numFmtId="165" fontId="5" fillId="3" borderId="0" xfId="0" applyNumberFormat="1" applyFont="1" applyFill="1" applyAlignment="1">
      <alignment horizontal="left"/>
    </xf>
    <xf numFmtId="165" fontId="5" fillId="2" borderId="0" xfId="0" applyNumberFormat="1" applyFont="1" applyFill="1" applyAlignment="1">
      <alignment horizontal="right"/>
    </xf>
    <xf numFmtId="0" fontId="5" fillId="12" borderId="3" xfId="0" applyNumberFormat="1" applyFont="1" applyFill="1" applyBorder="1" applyProtection="1"/>
    <xf numFmtId="1" fontId="35" fillId="0" borderId="16" xfId="0" applyNumberFormat="1" applyFont="1" applyBorder="1" applyAlignment="1">
      <alignment horizontal="right"/>
    </xf>
    <xf numFmtId="1" fontId="5" fillId="12" borderId="3" xfId="0" applyNumberFormat="1" applyFont="1" applyFill="1" applyBorder="1"/>
    <xf numFmtId="0" fontId="5" fillId="12" borderId="17" xfId="0" applyFont="1" applyFill="1" applyBorder="1" applyAlignment="1">
      <alignment horizontal="center" vertical="center"/>
    </xf>
    <xf numFmtId="10" fontId="5" fillId="12" borderId="18" xfId="0" applyNumberFormat="1" applyFont="1" applyFill="1" applyBorder="1" applyAlignment="1">
      <alignment horizontal="center" vertical="center"/>
    </xf>
    <xf numFmtId="0" fontId="34" fillId="0" borderId="16" xfId="0" applyFont="1" applyBorder="1" applyAlignment="1"/>
    <xf numFmtId="165" fontId="5" fillId="12" borderId="4" xfId="0" applyNumberFormat="1" applyFont="1" applyFill="1" applyBorder="1"/>
    <xf numFmtId="165" fontId="5" fillId="12" borderId="6" xfId="0" applyNumberFormat="1" applyFont="1" applyFill="1" applyBorder="1"/>
    <xf numFmtId="0" fontId="5" fillId="12" borderId="3" xfId="0" applyFont="1" applyFill="1" applyBorder="1"/>
    <xf numFmtId="0" fontId="5" fillId="2" borderId="0" xfId="0" applyFont="1" applyFill="1" applyBorder="1" applyAlignment="1">
      <alignment horizontal="left" vertical="top"/>
    </xf>
    <xf numFmtId="0" fontId="5" fillId="2" borderId="0" xfId="0" applyFont="1" applyFill="1" applyBorder="1" applyAlignment="1">
      <alignment horizontal="left"/>
    </xf>
    <xf numFmtId="0" fontId="28" fillId="3" borderId="0"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5" fillId="12" borderId="11" xfId="0" applyFont="1" applyFill="1" applyBorder="1" applyAlignment="1">
      <alignment horizontal="left"/>
    </xf>
    <xf numFmtId="0" fontId="5" fillId="12" borderId="12" xfId="0" applyFont="1" applyFill="1" applyBorder="1" applyAlignment="1">
      <alignment horizontal="left"/>
    </xf>
    <xf numFmtId="0" fontId="5" fillId="12" borderId="9" xfId="0" applyFont="1" applyFill="1" applyBorder="1" applyAlignment="1">
      <alignment horizontal="left"/>
    </xf>
    <xf numFmtId="0" fontId="5" fillId="12" borderId="10" xfId="0" applyFont="1" applyFill="1" applyBorder="1" applyAlignment="1">
      <alignment horizontal="left"/>
    </xf>
    <xf numFmtId="0" fontId="5" fillId="12" borderId="7" xfId="0" applyFont="1" applyFill="1" applyBorder="1" applyAlignment="1">
      <alignment horizontal="left"/>
    </xf>
    <xf numFmtId="0" fontId="5" fillId="12" borderId="8" xfId="0" applyFont="1" applyFill="1" applyBorder="1" applyAlignment="1">
      <alignment horizontal="left"/>
    </xf>
    <xf numFmtId="0" fontId="8" fillId="3" borderId="0" xfId="0" applyFont="1" applyFill="1" applyBorder="1" applyAlignment="1">
      <alignment horizontal="left" vertical="center" wrapText="1"/>
    </xf>
    <xf numFmtId="0" fontId="5" fillId="3" borderId="0" xfId="0" applyFont="1" applyFill="1" applyBorder="1" applyAlignment="1">
      <alignment horizontal="center" wrapText="1"/>
    </xf>
    <xf numFmtId="9" fontId="5" fillId="11" borderId="0" xfId="1" applyFont="1" applyFill="1" applyAlignment="1">
      <alignment horizontal="center"/>
    </xf>
    <xf numFmtId="0" fontId="4" fillId="11" borderId="13" xfId="0" applyFont="1" applyFill="1" applyBorder="1" applyAlignment="1">
      <alignment horizontal="center" vertical="center"/>
    </xf>
    <xf numFmtId="9" fontId="4" fillId="11" borderId="0" xfId="1" applyFont="1" applyFill="1" applyAlignment="1">
      <alignment horizontal="center"/>
    </xf>
    <xf numFmtId="0" fontId="4" fillId="2" borderId="0" xfId="0" applyFont="1" applyFill="1" applyAlignment="1">
      <alignment horizontal="center"/>
    </xf>
    <xf numFmtId="0" fontId="5" fillId="2" borderId="0" xfId="0" applyFont="1" applyFill="1" applyBorder="1" applyAlignment="1">
      <alignment horizontal="left" wrapText="1"/>
    </xf>
    <xf numFmtId="0" fontId="5" fillId="2" borderId="0" xfId="0" applyFont="1" applyFill="1" applyAlignment="1">
      <alignment horizontal="left"/>
    </xf>
    <xf numFmtId="0" fontId="5" fillId="2" borderId="0" xfId="0" applyFont="1" applyFill="1" applyAlignment="1">
      <alignment horizontal="left" vertical="top" wrapText="1"/>
    </xf>
    <xf numFmtId="0" fontId="4" fillId="3" borderId="0" xfId="0" applyFont="1" applyFill="1" applyAlignment="1">
      <alignment horizontal="center" vertical="center" wrapText="1"/>
    </xf>
    <xf numFmtId="0" fontId="27" fillId="2" borderId="0" xfId="8" applyFill="1" applyBorder="1" applyAlignment="1">
      <alignment horizontal="left"/>
    </xf>
    <xf numFmtId="167" fontId="4" fillId="11" borderId="0" xfId="0" applyNumberFormat="1" applyFont="1" applyFill="1" applyAlignment="1">
      <alignment horizontal="center"/>
    </xf>
    <xf numFmtId="167" fontId="5" fillId="11" borderId="0" xfId="0" applyNumberFormat="1" applyFont="1" applyFill="1" applyAlignment="1">
      <alignment horizontal="center"/>
    </xf>
    <xf numFmtId="0" fontId="4" fillId="11" borderId="14" xfId="0" applyFont="1" applyFill="1" applyBorder="1" applyAlignment="1">
      <alignment horizontal="center"/>
    </xf>
  </cellXfs>
  <cellStyles count="9">
    <cellStyle name="Comma" xfId="7" builtinId="3"/>
    <cellStyle name="Currency" xfId="2" builtinId="4"/>
    <cellStyle name="Hyperlink" xfId="8" builtinId="8"/>
    <cellStyle name="Hyperlink 2" xfId="4" xr:uid="{9B7630C7-F232-47F3-889F-543C9A38346B}"/>
    <cellStyle name="Normal" xfId="0" builtinId="0"/>
    <cellStyle name="Normal 2" xfId="3" xr:uid="{123D82D1-4D67-482B-BABF-A1D748A8E10F}"/>
    <cellStyle name="Percent" xfId="1" builtinId="5"/>
    <cellStyle name="Percent 2" xfId="6" xr:uid="{32E15C38-7003-41CC-8FB1-9C42FC5EB050}"/>
    <cellStyle name="Standard_HWB Kurzverf. Formular" xfId="5" xr:uid="{B6CC86D9-1E09-4968-8E5F-296A2A323357}"/>
  </cellStyles>
  <dxfs count="0"/>
  <tableStyles count="0" defaultTableStyle="TableStyleMedium2" defaultPivotStyle="PivotStyleLight16"/>
  <colors>
    <mruColors>
      <color rgb="FFF9FC7E"/>
      <color rgb="FFD8D0F8"/>
      <color rgb="FFCC99FF"/>
      <color rgb="FFFFFF99"/>
      <color rgb="FFF9FC92"/>
      <color rgb="FFFFFF00"/>
      <color rgb="FF9966FF"/>
      <color rgb="FFEACEFA"/>
      <color rgb="FFD2B3F7"/>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5731212085931194E-2"/>
          <c:y val="1.7727136752136753E-2"/>
          <c:w val="0.91426878791406885"/>
          <c:h val="0.85326004273504275"/>
        </c:manualLayout>
      </c:layout>
      <c:bar3DChart>
        <c:barDir val="col"/>
        <c:grouping val="stacked"/>
        <c:varyColors val="0"/>
        <c:ser>
          <c:idx val="0"/>
          <c:order val="0"/>
          <c:spPr>
            <a:solidFill>
              <a:schemeClr val="accent4"/>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Tw Cen MT" panose="020B06020201040206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bb!$L$180:$L$185</c:f>
              <c:strCache>
                <c:ptCount val="6"/>
                <c:pt idx="0">
                  <c:v>Space Heating</c:v>
                </c:pt>
                <c:pt idx="1">
                  <c:v>Hot Water</c:v>
                </c:pt>
                <c:pt idx="2">
                  <c:v>Lights, Appliances, Plugs</c:v>
                </c:pt>
                <c:pt idx="3">
                  <c:v>Electric Vehicle</c:v>
                </c:pt>
                <c:pt idx="4">
                  <c:v>Total</c:v>
                </c:pt>
                <c:pt idx="5">
                  <c:v>12.5 kW Solar Array</c:v>
                </c:pt>
              </c:strCache>
            </c:strRef>
          </c:cat>
          <c:val>
            <c:numRef>
              <c:f>bb!$M$180:$M$185</c:f>
              <c:numCache>
                <c:formatCode>_(* #,##0_);_(* \(#,##0\);_(* "-"??_);_(@_)</c:formatCode>
                <c:ptCount val="6"/>
                <c:pt idx="5">
                  <c:v>12855.080909036666</c:v>
                </c:pt>
              </c:numCache>
            </c:numRef>
          </c:val>
          <c:extLst>
            <c:ext xmlns:c16="http://schemas.microsoft.com/office/drawing/2014/chart" uri="{C3380CC4-5D6E-409C-BE32-E72D297353CC}">
              <c16:uniqueId val="{00000000-5F99-44C4-98F7-A7244A1DEC5C}"/>
            </c:ext>
          </c:extLst>
        </c:ser>
        <c:ser>
          <c:idx val="1"/>
          <c:order val="1"/>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Tw Cen MT" panose="020B06020201040206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bb!$L$180:$L$185</c:f>
              <c:strCache>
                <c:ptCount val="6"/>
                <c:pt idx="0">
                  <c:v>Space Heating</c:v>
                </c:pt>
                <c:pt idx="1">
                  <c:v>Hot Water</c:v>
                </c:pt>
                <c:pt idx="2">
                  <c:v>Lights, Appliances, Plugs</c:v>
                </c:pt>
                <c:pt idx="3">
                  <c:v>Electric Vehicle</c:v>
                </c:pt>
                <c:pt idx="4">
                  <c:v>Total</c:v>
                </c:pt>
                <c:pt idx="5">
                  <c:v>12.5 kW Solar Array</c:v>
                </c:pt>
              </c:strCache>
            </c:strRef>
          </c:cat>
          <c:val>
            <c:numRef>
              <c:f>bb!$N$180:$N$185</c:f>
              <c:numCache>
                <c:formatCode>_(* #,##0_);_(* \(#,##0\);_(* "-"??_);_(@_)</c:formatCode>
                <c:ptCount val="6"/>
                <c:pt idx="0">
                  <c:v>8404.6896046888396</c:v>
                </c:pt>
                <c:pt idx="4">
                  <c:v>8404.6896046888396</c:v>
                </c:pt>
              </c:numCache>
            </c:numRef>
          </c:val>
          <c:extLst>
            <c:ext xmlns:c16="http://schemas.microsoft.com/office/drawing/2014/chart" uri="{C3380CC4-5D6E-409C-BE32-E72D297353CC}">
              <c16:uniqueId val="{00000001-5F99-44C4-98F7-A7244A1DEC5C}"/>
            </c:ext>
          </c:extLst>
        </c:ser>
        <c:ser>
          <c:idx val="2"/>
          <c:order val="2"/>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Tw Cen MT" panose="020B06020201040206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bb!$L$180:$L$185</c:f>
              <c:strCache>
                <c:ptCount val="6"/>
                <c:pt idx="0">
                  <c:v>Space Heating</c:v>
                </c:pt>
                <c:pt idx="1">
                  <c:v>Hot Water</c:v>
                </c:pt>
                <c:pt idx="2">
                  <c:v>Lights, Appliances, Plugs</c:v>
                </c:pt>
                <c:pt idx="3">
                  <c:v>Electric Vehicle</c:v>
                </c:pt>
                <c:pt idx="4">
                  <c:v>Total</c:v>
                </c:pt>
                <c:pt idx="5">
                  <c:v>12.5 kW Solar Array</c:v>
                </c:pt>
              </c:strCache>
            </c:strRef>
          </c:cat>
          <c:val>
            <c:numRef>
              <c:f>bb!$O$180:$O$185</c:f>
              <c:numCache>
                <c:formatCode>_(* #,##0_);_(* \(#,##0\);_(* "-"??_);_(@_)</c:formatCode>
                <c:ptCount val="6"/>
                <c:pt idx="1">
                  <c:v>1092.3913043478262</c:v>
                </c:pt>
                <c:pt idx="4">
                  <c:v>1092.3913043478262</c:v>
                </c:pt>
              </c:numCache>
            </c:numRef>
          </c:val>
          <c:extLst>
            <c:ext xmlns:c16="http://schemas.microsoft.com/office/drawing/2014/chart" uri="{C3380CC4-5D6E-409C-BE32-E72D297353CC}">
              <c16:uniqueId val="{00000002-5F99-44C4-98F7-A7244A1DEC5C}"/>
            </c:ext>
          </c:extLst>
        </c:ser>
        <c:ser>
          <c:idx val="3"/>
          <c:order val="3"/>
          <c:spPr>
            <a:solidFill>
              <a:schemeClr val="bg1">
                <a:lumMod val="5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Tw Cen MT" panose="020B06020201040206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bb!$L$180:$L$185</c:f>
              <c:strCache>
                <c:ptCount val="6"/>
                <c:pt idx="0">
                  <c:v>Space Heating</c:v>
                </c:pt>
                <c:pt idx="1">
                  <c:v>Hot Water</c:v>
                </c:pt>
                <c:pt idx="2">
                  <c:v>Lights, Appliances, Plugs</c:v>
                </c:pt>
                <c:pt idx="3">
                  <c:v>Electric Vehicle</c:v>
                </c:pt>
                <c:pt idx="4">
                  <c:v>Total</c:v>
                </c:pt>
                <c:pt idx="5">
                  <c:v>12.5 kW Solar Array</c:v>
                </c:pt>
              </c:strCache>
            </c:strRef>
          </c:cat>
          <c:val>
            <c:numRef>
              <c:f>bb!$P$180:$P$185</c:f>
              <c:numCache>
                <c:formatCode>_(* #,##0_);_(* \(#,##0\);_(* "-"??_);_(@_)</c:formatCode>
                <c:ptCount val="6"/>
                <c:pt idx="2">
                  <c:v>3357.9999999999995</c:v>
                </c:pt>
                <c:pt idx="4">
                  <c:v>3357.9999999999995</c:v>
                </c:pt>
              </c:numCache>
            </c:numRef>
          </c:val>
          <c:extLst>
            <c:ext xmlns:c16="http://schemas.microsoft.com/office/drawing/2014/chart" uri="{C3380CC4-5D6E-409C-BE32-E72D297353CC}">
              <c16:uniqueId val="{00000003-5F99-44C4-98F7-A7244A1DEC5C}"/>
            </c:ext>
          </c:extLst>
        </c:ser>
        <c:ser>
          <c:idx val="4"/>
          <c:order val="4"/>
          <c:spPr>
            <a:solidFill>
              <a:srgbClr val="FFFF00"/>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Tw Cen MT" panose="020B06020201040206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bb!$L$180:$L$185</c:f>
              <c:strCache>
                <c:ptCount val="6"/>
                <c:pt idx="0">
                  <c:v>Space Heating</c:v>
                </c:pt>
                <c:pt idx="1">
                  <c:v>Hot Water</c:v>
                </c:pt>
                <c:pt idx="2">
                  <c:v>Lights, Appliances, Plugs</c:v>
                </c:pt>
                <c:pt idx="3">
                  <c:v>Electric Vehicle</c:v>
                </c:pt>
                <c:pt idx="4">
                  <c:v>Total</c:v>
                </c:pt>
                <c:pt idx="5">
                  <c:v>12.5 kW Solar Array</c:v>
                </c:pt>
              </c:strCache>
            </c:strRef>
          </c:cat>
          <c:val>
            <c:numRef>
              <c:f>bb!$Q$180:$Q$185</c:f>
              <c:numCache>
                <c:formatCode>_(* #,##0_);_(* \(#,##0\);_(* "-"??_);_(@_)</c:formatCode>
                <c:ptCount val="6"/>
                <c:pt idx="3">
                  <c:v>0</c:v>
                </c:pt>
                <c:pt idx="4">
                  <c:v>0</c:v>
                </c:pt>
              </c:numCache>
            </c:numRef>
          </c:val>
          <c:extLst>
            <c:ext xmlns:c16="http://schemas.microsoft.com/office/drawing/2014/chart" uri="{C3380CC4-5D6E-409C-BE32-E72D297353CC}">
              <c16:uniqueId val="{00000004-5F99-44C4-98F7-A7244A1DEC5C}"/>
            </c:ext>
          </c:extLst>
        </c:ser>
        <c:dLbls>
          <c:showLegendKey val="0"/>
          <c:showVal val="1"/>
          <c:showCatName val="0"/>
          <c:showSerName val="0"/>
          <c:showPercent val="0"/>
          <c:showBubbleSize val="0"/>
        </c:dLbls>
        <c:gapWidth val="5"/>
        <c:shape val="box"/>
        <c:axId val="1195019064"/>
        <c:axId val="1195019392"/>
        <c:axId val="0"/>
      </c:bar3DChart>
      <c:catAx>
        <c:axId val="1195019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w Cen MT" panose="020B0602020104020603" pitchFamily="34" charset="0"/>
                <a:ea typeface="+mn-ea"/>
                <a:cs typeface="+mn-cs"/>
              </a:defRPr>
            </a:pPr>
            <a:endParaRPr lang="en-US"/>
          </a:p>
        </c:txPr>
        <c:crossAx val="1195019392"/>
        <c:crosses val="autoZero"/>
        <c:auto val="1"/>
        <c:lblAlgn val="ctr"/>
        <c:lblOffset val="100"/>
        <c:noMultiLvlLbl val="0"/>
      </c:catAx>
      <c:valAx>
        <c:axId val="1195019392"/>
        <c:scaling>
          <c:orientation val="minMax"/>
          <c:max val="5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Tw Cen MT" panose="020B0602020104020603" pitchFamily="34" charset="0"/>
                    <a:ea typeface="+mn-ea"/>
                    <a:cs typeface="+mn-cs"/>
                  </a:defRPr>
                </a:pPr>
                <a:r>
                  <a:rPr lang="en-CA" sz="1800" b="0" i="0" baseline="0">
                    <a:effectLst/>
                  </a:rPr>
                  <a:t>kilowatt-hours (kWh)</a:t>
                </a:r>
                <a:endParaRPr lang="en-CA">
                  <a:effectLst/>
                </a:endParaRPr>
              </a:p>
            </c:rich>
          </c:tx>
          <c:layout>
            <c:manualLayout>
              <c:xMode val="edge"/>
              <c:yMode val="edge"/>
              <c:x val="3.9768997683503095E-2"/>
              <c:y val="0.19196089743589742"/>
            </c:manualLayout>
          </c:layout>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Tw Cen MT" panose="020B0602020104020603" pitchFamily="34" charset="0"/>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w Cen MT" panose="020B0602020104020603" pitchFamily="34" charset="0"/>
                <a:ea typeface="+mn-ea"/>
                <a:cs typeface="+mn-cs"/>
              </a:defRPr>
            </a:pPr>
            <a:endParaRPr lang="en-US"/>
          </a:p>
        </c:txPr>
        <c:crossAx val="119501906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5731212085931194E-2"/>
          <c:y val="1.7727136752136753E-2"/>
          <c:w val="0.91426878791406885"/>
          <c:h val="0.85326004273504275"/>
        </c:manualLayout>
      </c:layout>
      <c:bar3DChart>
        <c:barDir val="col"/>
        <c:grouping val="stacked"/>
        <c:varyColors val="0"/>
        <c:ser>
          <c:idx val="0"/>
          <c:order val="0"/>
          <c:spPr>
            <a:solidFill>
              <a:schemeClr val="accent4"/>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solidFill>
                    <a:latin typeface="Tw Cen MT" panose="020B06020201040206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bb!$C$180:$C$185</c:f>
              <c:strCache>
                <c:ptCount val="6"/>
                <c:pt idx="0">
                  <c:v>Space Heating</c:v>
                </c:pt>
                <c:pt idx="1">
                  <c:v>Hot Water</c:v>
                </c:pt>
                <c:pt idx="2">
                  <c:v>Lights, Appliances, Plugs</c:v>
                </c:pt>
                <c:pt idx="3">
                  <c:v>Electric Vehicle</c:v>
                </c:pt>
                <c:pt idx="4">
                  <c:v>Total</c:v>
                </c:pt>
                <c:pt idx="5">
                  <c:v>48.4 kW Solar Array</c:v>
                </c:pt>
              </c:strCache>
            </c:strRef>
          </c:cat>
          <c:val>
            <c:numRef>
              <c:f>bb!$D$180:$D$185</c:f>
              <c:numCache>
                <c:formatCode>_(* #,##0_);_(* \(#,##0\);_(* "-"??_);_(@_)</c:formatCode>
                <c:ptCount val="6"/>
                <c:pt idx="5">
                  <c:v>49967.249658207358</c:v>
                </c:pt>
              </c:numCache>
            </c:numRef>
          </c:val>
          <c:extLst>
            <c:ext xmlns:c16="http://schemas.microsoft.com/office/drawing/2014/chart" uri="{C3380CC4-5D6E-409C-BE32-E72D297353CC}">
              <c16:uniqueId val="{00000000-5F99-44C4-98F7-A7244A1DEC5C}"/>
            </c:ext>
          </c:extLst>
        </c:ser>
        <c:ser>
          <c:idx val="1"/>
          <c:order val="1"/>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Tw Cen MT" panose="020B06020201040206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bb!$C$180:$C$185</c:f>
              <c:strCache>
                <c:ptCount val="6"/>
                <c:pt idx="0">
                  <c:v>Space Heating</c:v>
                </c:pt>
                <c:pt idx="1">
                  <c:v>Hot Water</c:v>
                </c:pt>
                <c:pt idx="2">
                  <c:v>Lights, Appliances, Plugs</c:v>
                </c:pt>
                <c:pt idx="3">
                  <c:v>Electric Vehicle</c:v>
                </c:pt>
                <c:pt idx="4">
                  <c:v>Total</c:v>
                </c:pt>
                <c:pt idx="5">
                  <c:v>48.4 kW Solar Array</c:v>
                </c:pt>
              </c:strCache>
            </c:strRef>
          </c:cat>
          <c:val>
            <c:numRef>
              <c:f>bb!$E$180:$E$185</c:f>
              <c:numCache>
                <c:formatCode>_(* #,##0_);_(* \(#,##0\);_(* "-"??_);_(@_)</c:formatCode>
                <c:ptCount val="6"/>
                <c:pt idx="0">
                  <c:v>41000.644395049465</c:v>
                </c:pt>
                <c:pt idx="4">
                  <c:v>41000.644395049465</c:v>
                </c:pt>
              </c:numCache>
            </c:numRef>
          </c:val>
          <c:extLst>
            <c:ext xmlns:c16="http://schemas.microsoft.com/office/drawing/2014/chart" uri="{C3380CC4-5D6E-409C-BE32-E72D297353CC}">
              <c16:uniqueId val="{00000001-5F99-44C4-98F7-A7244A1DEC5C}"/>
            </c:ext>
          </c:extLst>
        </c:ser>
        <c:ser>
          <c:idx val="2"/>
          <c:order val="2"/>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Tw Cen MT" panose="020B06020201040206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bb!$C$180:$C$185</c:f>
              <c:strCache>
                <c:ptCount val="6"/>
                <c:pt idx="0">
                  <c:v>Space Heating</c:v>
                </c:pt>
                <c:pt idx="1">
                  <c:v>Hot Water</c:v>
                </c:pt>
                <c:pt idx="2">
                  <c:v>Lights, Appliances, Plugs</c:v>
                </c:pt>
                <c:pt idx="3">
                  <c:v>Electric Vehicle</c:v>
                </c:pt>
                <c:pt idx="4">
                  <c:v>Total</c:v>
                </c:pt>
                <c:pt idx="5">
                  <c:v>48.4 kW Solar Array</c:v>
                </c:pt>
              </c:strCache>
            </c:strRef>
          </c:cat>
          <c:val>
            <c:numRef>
              <c:f>bb!$F$180:$F$185</c:f>
              <c:numCache>
                <c:formatCode>_(* #,##0_);_(* \(#,##0\);_(* "-"??_);_(@_)</c:formatCode>
                <c:ptCount val="6"/>
                <c:pt idx="1">
                  <c:v>4842.105263157895</c:v>
                </c:pt>
                <c:pt idx="4">
                  <c:v>4842.105263157895</c:v>
                </c:pt>
              </c:numCache>
            </c:numRef>
          </c:val>
          <c:extLst>
            <c:ext xmlns:c16="http://schemas.microsoft.com/office/drawing/2014/chart" uri="{C3380CC4-5D6E-409C-BE32-E72D297353CC}">
              <c16:uniqueId val="{00000002-5F99-44C4-98F7-A7244A1DEC5C}"/>
            </c:ext>
          </c:extLst>
        </c:ser>
        <c:ser>
          <c:idx val="3"/>
          <c:order val="3"/>
          <c:spPr>
            <a:solidFill>
              <a:schemeClr val="bg1">
                <a:lumMod val="5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Tw Cen MT" panose="020B06020201040206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bb!$C$180:$C$185</c:f>
              <c:strCache>
                <c:ptCount val="6"/>
                <c:pt idx="0">
                  <c:v>Space Heating</c:v>
                </c:pt>
                <c:pt idx="1">
                  <c:v>Hot Water</c:v>
                </c:pt>
                <c:pt idx="2">
                  <c:v>Lights, Appliances, Plugs</c:v>
                </c:pt>
                <c:pt idx="3">
                  <c:v>Electric Vehicle</c:v>
                </c:pt>
                <c:pt idx="4">
                  <c:v>Total</c:v>
                </c:pt>
                <c:pt idx="5">
                  <c:v>48.4 kW Solar Array</c:v>
                </c:pt>
              </c:strCache>
            </c:strRef>
          </c:cat>
          <c:val>
            <c:numRef>
              <c:f>bb!$G$180:$G$185</c:f>
              <c:numCache>
                <c:formatCode>_(* #,##0_);_(* \(#,##0\);_(* "-"??_);_(@_)</c:formatCode>
                <c:ptCount val="6"/>
                <c:pt idx="2">
                  <c:v>4124.5</c:v>
                </c:pt>
                <c:pt idx="4">
                  <c:v>4124.5</c:v>
                </c:pt>
              </c:numCache>
            </c:numRef>
          </c:val>
          <c:extLst>
            <c:ext xmlns:c16="http://schemas.microsoft.com/office/drawing/2014/chart" uri="{C3380CC4-5D6E-409C-BE32-E72D297353CC}">
              <c16:uniqueId val="{00000003-5F99-44C4-98F7-A7244A1DEC5C}"/>
            </c:ext>
          </c:extLst>
        </c:ser>
        <c:ser>
          <c:idx val="4"/>
          <c:order val="4"/>
          <c:spPr>
            <a:solidFill>
              <a:srgbClr val="FFFF00"/>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Tw Cen MT" panose="020B06020201040206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bb!$C$180:$C$185</c:f>
              <c:strCache>
                <c:ptCount val="6"/>
                <c:pt idx="0">
                  <c:v>Space Heating</c:v>
                </c:pt>
                <c:pt idx="1">
                  <c:v>Hot Water</c:v>
                </c:pt>
                <c:pt idx="2">
                  <c:v>Lights, Appliances, Plugs</c:v>
                </c:pt>
                <c:pt idx="3">
                  <c:v>Electric Vehicle</c:v>
                </c:pt>
                <c:pt idx="4">
                  <c:v>Total</c:v>
                </c:pt>
                <c:pt idx="5">
                  <c:v>48.4 kW Solar Array</c:v>
                </c:pt>
              </c:strCache>
            </c:strRef>
          </c:cat>
          <c:val>
            <c:numRef>
              <c:f>bb!$H$180:$H$185</c:f>
              <c:numCache>
                <c:formatCode>_(* #,##0_);_(* \(#,##0\);_(* "-"??_);_(@_)</c:formatCode>
                <c:ptCount val="6"/>
                <c:pt idx="3">
                  <c:v>0</c:v>
                </c:pt>
                <c:pt idx="4">
                  <c:v>0</c:v>
                </c:pt>
              </c:numCache>
            </c:numRef>
          </c:val>
          <c:extLst>
            <c:ext xmlns:c16="http://schemas.microsoft.com/office/drawing/2014/chart" uri="{C3380CC4-5D6E-409C-BE32-E72D297353CC}">
              <c16:uniqueId val="{00000004-5F99-44C4-98F7-A7244A1DEC5C}"/>
            </c:ext>
          </c:extLst>
        </c:ser>
        <c:dLbls>
          <c:showLegendKey val="0"/>
          <c:showVal val="1"/>
          <c:showCatName val="0"/>
          <c:showSerName val="0"/>
          <c:showPercent val="0"/>
          <c:showBubbleSize val="0"/>
        </c:dLbls>
        <c:gapWidth val="5"/>
        <c:shape val="box"/>
        <c:axId val="1195019064"/>
        <c:axId val="1195019392"/>
        <c:axId val="0"/>
      </c:bar3DChart>
      <c:catAx>
        <c:axId val="1195019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w Cen MT" panose="020B0602020104020603" pitchFamily="34" charset="0"/>
                <a:ea typeface="+mn-ea"/>
                <a:cs typeface="+mn-cs"/>
              </a:defRPr>
            </a:pPr>
            <a:endParaRPr lang="en-US"/>
          </a:p>
        </c:txPr>
        <c:crossAx val="1195019392"/>
        <c:crosses val="autoZero"/>
        <c:auto val="1"/>
        <c:lblAlgn val="ctr"/>
        <c:lblOffset val="100"/>
        <c:noMultiLvlLbl val="0"/>
      </c:catAx>
      <c:valAx>
        <c:axId val="1195019392"/>
        <c:scaling>
          <c:orientation val="minMax"/>
          <c:max val="5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baseline="0">
                    <a:solidFill>
                      <a:sysClr val="windowText" lastClr="000000">
                        <a:lumMod val="65000"/>
                        <a:lumOff val="35000"/>
                      </a:sysClr>
                    </a:solidFill>
                    <a:latin typeface="Tw Cen MT" panose="020B0602020104020603" pitchFamily="34" charset="0"/>
                    <a:ea typeface="+mn-ea"/>
                    <a:cs typeface="+mn-cs"/>
                  </a:defRPr>
                </a:pPr>
                <a:r>
                  <a:rPr lang="en-CA" sz="1800" b="0" i="0" baseline="0">
                    <a:effectLst/>
                  </a:rPr>
                  <a:t>kilowatt-hours (kWh)</a:t>
                </a:r>
                <a:endParaRPr lang="en-CA">
                  <a:effectLst/>
                </a:endParaRPr>
              </a:p>
              <a:p>
                <a:pPr marL="0" marR="0" lvl="0" indent="0" algn="ctr" defTabSz="914400" rtl="0" eaLnBrk="1" fontAlgn="auto" latinLnBrk="0" hangingPunct="1">
                  <a:lnSpc>
                    <a:spcPct val="100000"/>
                  </a:lnSpc>
                  <a:spcBef>
                    <a:spcPts val="0"/>
                  </a:spcBef>
                  <a:spcAft>
                    <a:spcPts val="0"/>
                  </a:spcAft>
                  <a:buClrTx/>
                  <a:buSzTx/>
                  <a:buFontTx/>
                  <a:buNone/>
                  <a:tabLst/>
                  <a:defRPr sz="2000">
                    <a:solidFill>
                      <a:sysClr val="windowText" lastClr="000000">
                        <a:lumMod val="65000"/>
                        <a:lumOff val="35000"/>
                      </a:sysClr>
                    </a:solidFill>
                    <a:latin typeface="Tw Cen MT" panose="020B0602020104020603" pitchFamily="34" charset="0"/>
                  </a:defRPr>
                </a:pPr>
                <a:endParaRPr lang="en-CA"/>
              </a:p>
            </c:rich>
          </c:tx>
          <c:layout>
            <c:manualLayout>
              <c:xMode val="edge"/>
              <c:yMode val="edge"/>
              <c:x val="3.9768997683503095E-2"/>
              <c:y val="0.19196089743589742"/>
            </c:manualLayout>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2000" b="0" i="0" u="none" strike="noStrike" kern="1200" baseline="0">
                  <a:solidFill>
                    <a:sysClr val="windowText" lastClr="000000">
                      <a:lumMod val="65000"/>
                      <a:lumOff val="35000"/>
                    </a:sysClr>
                  </a:solidFill>
                  <a:latin typeface="Tw Cen MT" panose="020B0602020104020603" pitchFamily="34" charset="0"/>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w Cen MT" panose="020B0602020104020603" pitchFamily="34" charset="0"/>
                <a:ea typeface="+mn-ea"/>
                <a:cs typeface="+mn-cs"/>
              </a:defRPr>
            </a:pPr>
            <a:endParaRPr lang="en-US"/>
          </a:p>
        </c:txPr>
        <c:crossAx val="1195019064"/>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15"/>
      <c:rotY val="2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081756804829479E-2"/>
          <c:y val="2.2697327743470375E-2"/>
          <c:w val="0.94991824319517049"/>
          <c:h val="0.90141916666666666"/>
        </c:manualLayout>
      </c:layout>
      <c:bar3DChart>
        <c:barDir val="col"/>
        <c:grouping val="stacked"/>
        <c:varyColors val="0"/>
        <c:ser>
          <c:idx val="0"/>
          <c:order val="0"/>
          <c:tx>
            <c:strRef>
              <c:f>bb!$C$108</c:f>
              <c:strCache>
                <c:ptCount val="1"/>
                <c:pt idx="0">
                  <c:v>Space Heating Demand</c:v>
                </c:pt>
              </c:strCache>
            </c:strRef>
          </c:tx>
          <c:spPr>
            <a:solidFill>
              <a:srgbClr val="ED7D3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Tw Cen MT" panose="020B0602020104020603"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bb!$D$107:$E$107</c:f>
              <c:strCache>
                <c:ptCount val="2"/>
                <c:pt idx="0">
                  <c:v>Losses</c:v>
                </c:pt>
                <c:pt idx="1">
                  <c:v>Gains</c:v>
                </c:pt>
              </c:strCache>
            </c:strRef>
          </c:cat>
          <c:val>
            <c:numRef>
              <c:f>bb!$D$108:$E$108</c:f>
              <c:numCache>
                <c:formatCode>_(* #,##0_);_(* \(#,##0\);_(* "-"??_);_(@_)</c:formatCode>
                <c:ptCount val="2"/>
                <c:pt idx="1">
                  <c:v>92.013744485071484</c:v>
                </c:pt>
              </c:numCache>
            </c:numRef>
          </c:val>
          <c:extLst>
            <c:ext xmlns:c16="http://schemas.microsoft.com/office/drawing/2014/chart" uri="{C3380CC4-5D6E-409C-BE32-E72D297353CC}">
              <c16:uniqueId val="{00000000-075F-4579-8FCF-52F40925FB92}"/>
            </c:ext>
          </c:extLst>
        </c:ser>
        <c:ser>
          <c:idx val="1"/>
          <c:order val="1"/>
          <c:tx>
            <c:strRef>
              <c:f>bb!$C$109</c:f>
              <c:strCache>
                <c:ptCount val="1"/>
                <c:pt idx="0">
                  <c:v>Internal Heat Gains</c:v>
                </c:pt>
              </c:strCache>
            </c:strRef>
          </c:tx>
          <c:spPr>
            <a:solidFill>
              <a:srgbClr val="ED7D31">
                <a:lumMod val="60000"/>
                <a:lumOff val="40000"/>
              </a:srgb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Tw Cen MT" panose="020B0602020104020603"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cat>
            <c:strRef>
              <c:f>bb!$D$107:$E$107</c:f>
              <c:strCache>
                <c:ptCount val="2"/>
                <c:pt idx="0">
                  <c:v>Losses</c:v>
                </c:pt>
                <c:pt idx="1">
                  <c:v>Gains</c:v>
                </c:pt>
              </c:strCache>
            </c:strRef>
          </c:cat>
          <c:val>
            <c:numRef>
              <c:f>bb!$D$109:$E$109</c:f>
              <c:numCache>
                <c:formatCode>0</c:formatCode>
                <c:ptCount val="2"/>
                <c:pt idx="1">
                  <c:v>10.965</c:v>
                </c:pt>
              </c:numCache>
            </c:numRef>
          </c:val>
          <c:extLst>
            <c:ext xmlns:c16="http://schemas.microsoft.com/office/drawing/2014/chart" uri="{C3380CC4-5D6E-409C-BE32-E72D297353CC}">
              <c16:uniqueId val="{00000001-075F-4579-8FCF-52F40925FB92}"/>
            </c:ext>
          </c:extLst>
        </c:ser>
        <c:ser>
          <c:idx val="2"/>
          <c:order val="2"/>
          <c:tx>
            <c:strRef>
              <c:f>bb!$C$110</c:f>
              <c:strCache>
                <c:ptCount val="1"/>
                <c:pt idx="0">
                  <c:v>Solar Gains</c:v>
                </c:pt>
              </c:strCache>
            </c:strRef>
          </c:tx>
          <c:spPr>
            <a:solidFill>
              <a:srgbClr val="F9FC7E"/>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bb!$D$107:$E$107</c:f>
              <c:strCache>
                <c:ptCount val="2"/>
                <c:pt idx="0">
                  <c:v>Losses</c:v>
                </c:pt>
                <c:pt idx="1">
                  <c:v>Gains</c:v>
                </c:pt>
              </c:strCache>
            </c:strRef>
          </c:cat>
          <c:val>
            <c:numRef>
              <c:f>bb!$D$110:$E$110</c:f>
              <c:numCache>
                <c:formatCode>0</c:formatCode>
                <c:ptCount val="2"/>
                <c:pt idx="1">
                  <c:v>3.6534858514677815</c:v>
                </c:pt>
              </c:numCache>
            </c:numRef>
          </c:val>
          <c:extLst>
            <c:ext xmlns:c16="http://schemas.microsoft.com/office/drawing/2014/chart" uri="{C3380CC4-5D6E-409C-BE32-E72D297353CC}">
              <c16:uniqueId val="{0000000E-DCD5-4A79-8950-54088792C910}"/>
            </c:ext>
          </c:extLst>
        </c:ser>
        <c:ser>
          <c:idx val="3"/>
          <c:order val="3"/>
          <c:tx>
            <c:strRef>
              <c:f>bb!$C$111</c:f>
              <c:strCache>
                <c:ptCount val="1"/>
                <c:pt idx="0">
                  <c:v>Ventilation</c:v>
                </c:pt>
              </c:strCache>
            </c:strRef>
          </c:tx>
          <c:spPr>
            <a:solidFill>
              <a:srgbClr val="70AD47">
                <a:lumMod val="60000"/>
                <a:lumOff val="40000"/>
              </a:srgbClr>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bb!$D$107:$E$107</c:f>
              <c:strCache>
                <c:ptCount val="2"/>
                <c:pt idx="0">
                  <c:v>Losses</c:v>
                </c:pt>
                <c:pt idx="1">
                  <c:v>Gains</c:v>
                </c:pt>
              </c:strCache>
            </c:strRef>
          </c:cat>
          <c:val>
            <c:numRef>
              <c:f>bb!$D$111:$E$111</c:f>
              <c:numCache>
                <c:formatCode>_(* #,##0_);_(* \(#,##0\);_(* "-"??_);_(@_)</c:formatCode>
                <c:ptCount val="2"/>
                <c:pt idx="0">
                  <c:v>13.5567432</c:v>
                </c:pt>
              </c:numCache>
            </c:numRef>
          </c:val>
          <c:extLst>
            <c:ext xmlns:c16="http://schemas.microsoft.com/office/drawing/2014/chart" uri="{C3380CC4-5D6E-409C-BE32-E72D297353CC}">
              <c16:uniqueId val="{0000000F-DCD5-4A79-8950-54088792C910}"/>
            </c:ext>
          </c:extLst>
        </c:ser>
        <c:ser>
          <c:idx val="4"/>
          <c:order val="4"/>
          <c:tx>
            <c:strRef>
              <c:f>bb!$C$112</c:f>
              <c:strCache>
                <c:ptCount val="1"/>
                <c:pt idx="0">
                  <c:v>Infiltration</c:v>
                </c:pt>
              </c:strCache>
            </c:strRef>
          </c:tx>
          <c:spPr>
            <a:solidFill>
              <a:srgbClr val="D8D0F8"/>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bb!$D$107:$E$107</c:f>
              <c:strCache>
                <c:ptCount val="2"/>
                <c:pt idx="0">
                  <c:v>Losses</c:v>
                </c:pt>
                <c:pt idx="1">
                  <c:v>Gains</c:v>
                </c:pt>
              </c:strCache>
            </c:strRef>
          </c:cat>
          <c:val>
            <c:numRef>
              <c:f>bb!$D$112:$E$112</c:f>
              <c:numCache>
                <c:formatCode>_(* #,##0_);_(* \(#,##0\);_(* "-"??_);_(@_)</c:formatCode>
                <c:ptCount val="2"/>
                <c:pt idx="0">
                  <c:v>24.603480000000005</c:v>
                </c:pt>
              </c:numCache>
            </c:numRef>
          </c:val>
          <c:extLst>
            <c:ext xmlns:c16="http://schemas.microsoft.com/office/drawing/2014/chart" uri="{C3380CC4-5D6E-409C-BE32-E72D297353CC}">
              <c16:uniqueId val="{00000010-DCD5-4A79-8950-54088792C910}"/>
            </c:ext>
          </c:extLst>
        </c:ser>
        <c:ser>
          <c:idx val="5"/>
          <c:order val="5"/>
          <c:tx>
            <c:strRef>
              <c:f>bb!$C$113</c:f>
              <c:strCache>
                <c:ptCount val="1"/>
                <c:pt idx="0">
                  <c:v>Windows</c:v>
                </c:pt>
              </c:strCache>
            </c:strRef>
          </c:tx>
          <c:spPr>
            <a:solidFill>
              <a:srgbClr val="F9FC7E"/>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bb!$D$107:$E$107</c:f>
              <c:strCache>
                <c:ptCount val="2"/>
                <c:pt idx="0">
                  <c:v>Losses</c:v>
                </c:pt>
                <c:pt idx="1">
                  <c:v>Gains</c:v>
                </c:pt>
              </c:strCache>
            </c:strRef>
          </c:cat>
          <c:val>
            <c:numRef>
              <c:f>bb!$D$113:$E$113</c:f>
              <c:numCache>
                <c:formatCode>_(* #,##0_);_(* \(#,##0\);_(* "-"??_);_(@_)</c:formatCode>
                <c:ptCount val="2"/>
                <c:pt idx="0">
                  <c:v>11.401735973586426</c:v>
                </c:pt>
              </c:numCache>
            </c:numRef>
          </c:val>
          <c:extLst>
            <c:ext xmlns:c16="http://schemas.microsoft.com/office/drawing/2014/chart" uri="{C3380CC4-5D6E-409C-BE32-E72D297353CC}">
              <c16:uniqueId val="{00000011-DCD5-4A79-8950-54088792C910}"/>
            </c:ext>
          </c:extLst>
        </c:ser>
        <c:ser>
          <c:idx val="6"/>
          <c:order val="6"/>
          <c:tx>
            <c:strRef>
              <c:f>bb!$C$114</c:f>
              <c:strCache>
                <c:ptCount val="1"/>
                <c:pt idx="0">
                  <c:v>Floor</c:v>
                </c:pt>
              </c:strCache>
            </c:strRef>
          </c:tx>
          <c:spPr>
            <a:solidFill>
              <a:srgbClr val="FFC000">
                <a:lumMod val="75000"/>
              </a:srgbClr>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bb!$D$107:$E$107</c:f>
              <c:strCache>
                <c:ptCount val="2"/>
                <c:pt idx="0">
                  <c:v>Losses</c:v>
                </c:pt>
                <c:pt idx="1">
                  <c:v>Gains</c:v>
                </c:pt>
              </c:strCache>
            </c:strRef>
          </c:cat>
          <c:val>
            <c:numRef>
              <c:f>bb!$D$114:$E$114</c:f>
              <c:numCache>
                <c:formatCode>_(* #,##0_);_(* \(#,##0\);_(* "-"??_);_(@_)</c:formatCode>
                <c:ptCount val="2"/>
                <c:pt idx="0">
                  <c:v>15.255935999999998</c:v>
                </c:pt>
              </c:numCache>
            </c:numRef>
          </c:val>
          <c:extLst>
            <c:ext xmlns:c16="http://schemas.microsoft.com/office/drawing/2014/chart" uri="{C3380CC4-5D6E-409C-BE32-E72D297353CC}">
              <c16:uniqueId val="{00000012-DCD5-4A79-8950-54088792C910}"/>
            </c:ext>
          </c:extLst>
        </c:ser>
        <c:ser>
          <c:idx val="7"/>
          <c:order val="7"/>
          <c:tx>
            <c:strRef>
              <c:f>bb!$C$115</c:f>
              <c:strCache>
                <c:ptCount val="1"/>
                <c:pt idx="0">
                  <c:v>Roof</c:v>
                </c:pt>
              </c:strCache>
            </c:strRef>
          </c:tx>
          <c:spPr>
            <a:solidFill>
              <a:srgbClr val="4472C4">
                <a:lumMod val="75000"/>
              </a:srgbClr>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bb!$D$107:$E$107</c:f>
              <c:strCache>
                <c:ptCount val="2"/>
                <c:pt idx="0">
                  <c:v>Losses</c:v>
                </c:pt>
                <c:pt idx="1">
                  <c:v>Gains</c:v>
                </c:pt>
              </c:strCache>
            </c:strRef>
          </c:cat>
          <c:val>
            <c:numRef>
              <c:f>bb!$D$115:$E$115</c:f>
              <c:numCache>
                <c:formatCode>_(* #,##0_);_(* \(#,##0\);_(* "-"??_);_(@_)</c:formatCode>
                <c:ptCount val="2"/>
                <c:pt idx="0">
                  <c:v>8.6256055363321806</c:v>
                </c:pt>
              </c:numCache>
            </c:numRef>
          </c:val>
          <c:extLst>
            <c:ext xmlns:c16="http://schemas.microsoft.com/office/drawing/2014/chart" uri="{C3380CC4-5D6E-409C-BE32-E72D297353CC}">
              <c16:uniqueId val="{00000013-DCD5-4A79-8950-54088792C910}"/>
            </c:ext>
          </c:extLst>
        </c:ser>
        <c:ser>
          <c:idx val="8"/>
          <c:order val="8"/>
          <c:tx>
            <c:strRef>
              <c:f>bb!$C$116</c:f>
              <c:strCache>
                <c:ptCount val="1"/>
                <c:pt idx="0">
                  <c:v>Walls - Below Grade</c:v>
                </c:pt>
              </c:strCache>
            </c:strRef>
          </c:tx>
          <c:spPr>
            <a:solidFill>
              <a:srgbClr val="4472C4">
                <a:lumMod val="60000"/>
                <a:lumOff val="40000"/>
              </a:srgbClr>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bb!$D$107:$E$107</c:f>
              <c:strCache>
                <c:ptCount val="2"/>
                <c:pt idx="0">
                  <c:v>Losses</c:v>
                </c:pt>
                <c:pt idx="1">
                  <c:v>Gains</c:v>
                </c:pt>
              </c:strCache>
            </c:strRef>
          </c:cat>
          <c:val>
            <c:numRef>
              <c:f>bb!$D$116:$E$116</c:f>
              <c:numCache>
                <c:formatCode>General</c:formatCode>
                <c:ptCount val="2"/>
                <c:pt idx="0" formatCode="_(* #,##0_);_(* \(#,##0\);_(* &quot;-&quot;??_);_(@_)">
                  <c:v>3.2651221998359303</c:v>
                </c:pt>
              </c:numCache>
            </c:numRef>
          </c:val>
          <c:extLst>
            <c:ext xmlns:c16="http://schemas.microsoft.com/office/drawing/2014/chart" uri="{C3380CC4-5D6E-409C-BE32-E72D297353CC}">
              <c16:uniqueId val="{00000014-DCD5-4A79-8950-54088792C910}"/>
            </c:ext>
          </c:extLst>
        </c:ser>
        <c:ser>
          <c:idx val="9"/>
          <c:order val="9"/>
          <c:tx>
            <c:strRef>
              <c:f>bb!$C$117</c:f>
              <c:strCache>
                <c:ptCount val="1"/>
                <c:pt idx="0">
                  <c:v>Walls</c:v>
                </c:pt>
              </c:strCache>
            </c:strRef>
          </c:tx>
          <c:spPr>
            <a:solidFill>
              <a:srgbClr val="4472C4">
                <a:lumMod val="40000"/>
                <a:lumOff val="60000"/>
              </a:srgbClr>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bb!$D$107:$E$107</c:f>
              <c:strCache>
                <c:ptCount val="2"/>
                <c:pt idx="0">
                  <c:v>Losses</c:v>
                </c:pt>
                <c:pt idx="1">
                  <c:v>Gains</c:v>
                </c:pt>
              </c:strCache>
            </c:strRef>
          </c:cat>
          <c:val>
            <c:numRef>
              <c:f>bb!$D$117:$E$117</c:f>
              <c:numCache>
                <c:formatCode>_(* #,##0_);_(* \(#,##0\);_(* "-"??_);_(@_)</c:formatCode>
                <c:ptCount val="2"/>
                <c:pt idx="0">
                  <c:v>29.923607426784706</c:v>
                </c:pt>
              </c:numCache>
            </c:numRef>
          </c:val>
          <c:extLst>
            <c:ext xmlns:c16="http://schemas.microsoft.com/office/drawing/2014/chart" uri="{C3380CC4-5D6E-409C-BE32-E72D297353CC}">
              <c16:uniqueId val="{00000015-DCD5-4A79-8950-54088792C910}"/>
            </c:ext>
          </c:extLst>
        </c:ser>
        <c:dLbls>
          <c:showLegendKey val="0"/>
          <c:showVal val="1"/>
          <c:showCatName val="0"/>
          <c:showSerName val="0"/>
          <c:showPercent val="0"/>
          <c:showBubbleSize val="0"/>
        </c:dLbls>
        <c:gapWidth val="25"/>
        <c:gapDepth val="100"/>
        <c:shape val="box"/>
        <c:axId val="977022368"/>
        <c:axId val="977031552"/>
        <c:axId val="0"/>
      </c:bar3DChart>
      <c:catAx>
        <c:axId val="9770223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Tw Cen MT" panose="020B0602020104020603" pitchFamily="34" charset="0"/>
                <a:ea typeface="+mn-ea"/>
                <a:cs typeface="+mn-cs"/>
              </a:defRPr>
            </a:pPr>
            <a:endParaRPr lang="en-US"/>
          </a:p>
        </c:txPr>
        <c:crossAx val="977031552"/>
        <c:crosses val="autoZero"/>
        <c:auto val="1"/>
        <c:lblAlgn val="ctr"/>
        <c:lblOffset val="100"/>
        <c:noMultiLvlLbl val="0"/>
      </c:catAx>
      <c:valAx>
        <c:axId val="977031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baseline="0">
                    <a:solidFill>
                      <a:sysClr val="windowText" lastClr="000000">
                        <a:lumMod val="65000"/>
                        <a:lumOff val="35000"/>
                      </a:sysClr>
                    </a:solidFill>
                    <a:latin typeface="Tw Cen MT" panose="020B0602020104020603" pitchFamily="34" charset="0"/>
                    <a:ea typeface="+mn-ea"/>
                    <a:cs typeface="+mn-cs"/>
                  </a:defRPr>
                </a:pPr>
                <a:r>
                  <a:rPr lang="en-CA" sz="1600" b="0" i="0" baseline="0">
                    <a:effectLst/>
                  </a:rPr>
                  <a:t>kWh/m²</a:t>
                </a:r>
                <a:endParaRPr lang="en-CA" sz="1600">
                  <a:effectLst/>
                </a:endParaRPr>
              </a:p>
            </c:rich>
          </c:tx>
          <c:layout>
            <c:manualLayout>
              <c:xMode val="edge"/>
              <c:yMode val="edge"/>
              <c:x val="0.10163535353535354"/>
              <c:y val="0.30235111111111118"/>
            </c:manualLayout>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w Cen MT" panose="020B0602020104020603" pitchFamily="34" charset="0"/>
                <a:ea typeface="+mn-ea"/>
                <a:cs typeface="+mn-cs"/>
              </a:defRPr>
            </a:pPr>
            <a:endParaRPr lang="en-US"/>
          </a:p>
        </c:txPr>
        <c:crossAx val="97702236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15"/>
      <c:rotY val="2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960063131313131E-2"/>
          <c:y val="2.2697327743470375E-2"/>
          <c:w val="0.9603993686868687"/>
          <c:h val="0.90141916666666666"/>
        </c:manualLayout>
      </c:layout>
      <c:bar3DChart>
        <c:barDir val="col"/>
        <c:grouping val="stacked"/>
        <c:varyColors val="0"/>
        <c:ser>
          <c:idx val="0"/>
          <c:order val="0"/>
          <c:tx>
            <c:strRef>
              <c:f>bb!$L$108</c:f>
              <c:strCache>
                <c:ptCount val="1"/>
                <c:pt idx="0">
                  <c:v>Space Heating Demand</c:v>
                </c:pt>
              </c:strCache>
            </c:strRef>
          </c:tx>
          <c:spPr>
            <a:solidFill>
              <a:srgbClr val="ED7D3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Tw Cen MT" panose="020B0602020104020603"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bb!$M$107:$N$107</c:f>
              <c:strCache>
                <c:ptCount val="2"/>
                <c:pt idx="0">
                  <c:v>Losses</c:v>
                </c:pt>
                <c:pt idx="1">
                  <c:v>Gains</c:v>
                </c:pt>
              </c:strCache>
            </c:strRef>
          </c:cat>
          <c:val>
            <c:numRef>
              <c:f>bb!$M$108:$N$108</c:f>
              <c:numCache>
                <c:formatCode>_(* #,##0_);_(* \(#,##0\);_(* "-"??_);_(@_)</c:formatCode>
                <c:ptCount val="2"/>
                <c:pt idx="1">
                  <c:v>36.448797138271374</c:v>
                </c:pt>
              </c:numCache>
            </c:numRef>
          </c:val>
          <c:extLst>
            <c:ext xmlns:c16="http://schemas.microsoft.com/office/drawing/2014/chart" uri="{C3380CC4-5D6E-409C-BE32-E72D297353CC}">
              <c16:uniqueId val="{00000000-075F-4579-8FCF-52F40925FB92}"/>
            </c:ext>
          </c:extLst>
        </c:ser>
        <c:ser>
          <c:idx val="1"/>
          <c:order val="1"/>
          <c:tx>
            <c:strRef>
              <c:f>bb!$L$109</c:f>
              <c:strCache>
                <c:ptCount val="1"/>
                <c:pt idx="0">
                  <c:v>Internal Heat Gains</c:v>
                </c:pt>
              </c:strCache>
            </c:strRef>
          </c:tx>
          <c:spPr>
            <a:solidFill>
              <a:srgbClr val="ED7D31">
                <a:lumMod val="60000"/>
                <a:lumOff val="40000"/>
              </a:srgb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Tw Cen MT" panose="020B0602020104020603" pitchFamily="34" charset="0"/>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cat>
            <c:strRef>
              <c:f>bb!$M$107:$N$107</c:f>
              <c:strCache>
                <c:ptCount val="2"/>
                <c:pt idx="0">
                  <c:v>Losses</c:v>
                </c:pt>
                <c:pt idx="1">
                  <c:v>Gains</c:v>
                </c:pt>
              </c:strCache>
            </c:strRef>
          </c:cat>
          <c:val>
            <c:numRef>
              <c:f>bb!$M$109:$N$109</c:f>
              <c:numCache>
                <c:formatCode>0</c:formatCode>
                <c:ptCount val="2"/>
                <c:pt idx="1">
                  <c:v>10.965</c:v>
                </c:pt>
              </c:numCache>
            </c:numRef>
          </c:val>
          <c:extLst>
            <c:ext xmlns:c16="http://schemas.microsoft.com/office/drawing/2014/chart" uri="{C3380CC4-5D6E-409C-BE32-E72D297353CC}">
              <c16:uniqueId val="{00000001-075F-4579-8FCF-52F40925FB92}"/>
            </c:ext>
          </c:extLst>
        </c:ser>
        <c:ser>
          <c:idx val="2"/>
          <c:order val="2"/>
          <c:tx>
            <c:strRef>
              <c:f>bb!$L$110</c:f>
              <c:strCache>
                <c:ptCount val="1"/>
                <c:pt idx="0">
                  <c:v>Solar Gains</c:v>
                </c:pt>
              </c:strCache>
            </c:strRef>
          </c:tx>
          <c:spPr>
            <a:solidFill>
              <a:srgbClr val="F9FC7E"/>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bb!$M$107:$N$107</c:f>
              <c:strCache>
                <c:ptCount val="2"/>
                <c:pt idx="0">
                  <c:v>Losses</c:v>
                </c:pt>
                <c:pt idx="1">
                  <c:v>Gains</c:v>
                </c:pt>
              </c:strCache>
            </c:strRef>
          </c:cat>
          <c:val>
            <c:numRef>
              <c:f>bb!$M$110:$N$110</c:f>
              <c:numCache>
                <c:formatCode>0</c:formatCode>
                <c:ptCount val="2"/>
                <c:pt idx="1">
                  <c:v>3.3794744126076974</c:v>
                </c:pt>
              </c:numCache>
            </c:numRef>
          </c:val>
          <c:extLst>
            <c:ext xmlns:c16="http://schemas.microsoft.com/office/drawing/2014/chart" uri="{C3380CC4-5D6E-409C-BE32-E72D297353CC}">
              <c16:uniqueId val="{0000000E-DCD5-4A79-8950-54088792C910}"/>
            </c:ext>
          </c:extLst>
        </c:ser>
        <c:ser>
          <c:idx val="3"/>
          <c:order val="3"/>
          <c:tx>
            <c:strRef>
              <c:f>bb!$L$111</c:f>
              <c:strCache>
                <c:ptCount val="1"/>
                <c:pt idx="0">
                  <c:v>Ventilation</c:v>
                </c:pt>
              </c:strCache>
            </c:strRef>
          </c:tx>
          <c:spPr>
            <a:solidFill>
              <a:srgbClr val="70AD47">
                <a:lumMod val="60000"/>
                <a:lumOff val="40000"/>
              </a:srgbClr>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bb!$M$107:$N$107</c:f>
              <c:strCache>
                <c:ptCount val="2"/>
                <c:pt idx="0">
                  <c:v>Losses</c:v>
                </c:pt>
                <c:pt idx="1">
                  <c:v>Gains</c:v>
                </c:pt>
              </c:strCache>
            </c:strRef>
          </c:cat>
          <c:val>
            <c:numRef>
              <c:f>bb!$M$111:$N$111</c:f>
              <c:numCache>
                <c:formatCode>General</c:formatCode>
                <c:ptCount val="2"/>
                <c:pt idx="0" formatCode="_(* #,##0_);_(* \(#,##0\);_(* &quot;-&quot;??_);_(@_)">
                  <c:v>5.0837787000000008</c:v>
                </c:pt>
              </c:numCache>
            </c:numRef>
          </c:val>
          <c:extLst>
            <c:ext xmlns:c16="http://schemas.microsoft.com/office/drawing/2014/chart" uri="{C3380CC4-5D6E-409C-BE32-E72D297353CC}">
              <c16:uniqueId val="{0000000F-DCD5-4A79-8950-54088792C910}"/>
            </c:ext>
          </c:extLst>
        </c:ser>
        <c:ser>
          <c:idx val="4"/>
          <c:order val="4"/>
          <c:tx>
            <c:strRef>
              <c:f>bb!$L$112</c:f>
              <c:strCache>
                <c:ptCount val="1"/>
                <c:pt idx="0">
                  <c:v>Infiltration</c:v>
                </c:pt>
              </c:strCache>
            </c:strRef>
          </c:tx>
          <c:spPr>
            <a:solidFill>
              <a:srgbClr val="D8D0F8"/>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bb!$M$107:$N$107</c:f>
              <c:strCache>
                <c:ptCount val="2"/>
                <c:pt idx="0">
                  <c:v>Losses</c:v>
                </c:pt>
                <c:pt idx="1">
                  <c:v>Gains</c:v>
                </c:pt>
              </c:strCache>
            </c:strRef>
          </c:cat>
          <c:val>
            <c:numRef>
              <c:f>bb!$M$112:$N$112</c:f>
              <c:numCache>
                <c:formatCode>General</c:formatCode>
                <c:ptCount val="2"/>
                <c:pt idx="0" formatCode="_(* #,##0_);_(* \(#,##0\);_(* &quot;-&quot;??_);_(@_)">
                  <c:v>9.820226692233943</c:v>
                </c:pt>
              </c:numCache>
            </c:numRef>
          </c:val>
          <c:extLst>
            <c:ext xmlns:c16="http://schemas.microsoft.com/office/drawing/2014/chart" uri="{C3380CC4-5D6E-409C-BE32-E72D297353CC}">
              <c16:uniqueId val="{00000010-DCD5-4A79-8950-54088792C910}"/>
            </c:ext>
          </c:extLst>
        </c:ser>
        <c:ser>
          <c:idx val="5"/>
          <c:order val="5"/>
          <c:tx>
            <c:strRef>
              <c:f>bb!$L$113</c:f>
              <c:strCache>
                <c:ptCount val="1"/>
                <c:pt idx="0">
                  <c:v>Windows</c:v>
                </c:pt>
              </c:strCache>
            </c:strRef>
          </c:tx>
          <c:spPr>
            <a:solidFill>
              <a:srgbClr val="F9FC7E"/>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bb!$M$107:$N$107</c:f>
              <c:strCache>
                <c:ptCount val="2"/>
                <c:pt idx="0">
                  <c:v>Losses</c:v>
                </c:pt>
                <c:pt idx="1">
                  <c:v>Gains</c:v>
                </c:pt>
              </c:strCache>
            </c:strRef>
          </c:cat>
          <c:val>
            <c:numRef>
              <c:f>bb!$M$113:$N$113</c:f>
              <c:numCache>
                <c:formatCode>General</c:formatCode>
                <c:ptCount val="2"/>
                <c:pt idx="0" formatCode="_(* #,##0_);_(* \(#,##0\);_(* &quot;-&quot;??_);_(@_)">
                  <c:v>7.540658298639749</c:v>
                </c:pt>
              </c:numCache>
            </c:numRef>
          </c:val>
          <c:extLst>
            <c:ext xmlns:c16="http://schemas.microsoft.com/office/drawing/2014/chart" uri="{C3380CC4-5D6E-409C-BE32-E72D297353CC}">
              <c16:uniqueId val="{00000011-DCD5-4A79-8950-54088792C910}"/>
            </c:ext>
          </c:extLst>
        </c:ser>
        <c:ser>
          <c:idx val="6"/>
          <c:order val="6"/>
          <c:tx>
            <c:strRef>
              <c:f>bb!$L$114</c:f>
              <c:strCache>
                <c:ptCount val="1"/>
                <c:pt idx="0">
                  <c:v>Floor</c:v>
                </c:pt>
              </c:strCache>
            </c:strRef>
          </c:tx>
          <c:spPr>
            <a:solidFill>
              <a:srgbClr val="FFC000">
                <a:lumMod val="75000"/>
              </a:srgbClr>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bb!$M$107:$N$107</c:f>
              <c:strCache>
                <c:ptCount val="2"/>
                <c:pt idx="0">
                  <c:v>Losses</c:v>
                </c:pt>
                <c:pt idx="1">
                  <c:v>Gains</c:v>
                </c:pt>
              </c:strCache>
            </c:strRef>
          </c:cat>
          <c:val>
            <c:numRef>
              <c:f>bb!$M$114:$N$114</c:f>
              <c:numCache>
                <c:formatCode>General</c:formatCode>
                <c:ptCount val="2"/>
                <c:pt idx="0" formatCode="_(* #,##0_);_(* \(#,##0\);_(* &quot;-&quot;??_);_(@_)">
                  <c:v>6.7903871999999996</c:v>
                </c:pt>
              </c:numCache>
            </c:numRef>
          </c:val>
          <c:extLst>
            <c:ext xmlns:c16="http://schemas.microsoft.com/office/drawing/2014/chart" uri="{C3380CC4-5D6E-409C-BE32-E72D297353CC}">
              <c16:uniqueId val="{00000012-DCD5-4A79-8950-54088792C910}"/>
            </c:ext>
          </c:extLst>
        </c:ser>
        <c:ser>
          <c:idx val="7"/>
          <c:order val="7"/>
          <c:tx>
            <c:strRef>
              <c:f>bb!$L$115</c:f>
              <c:strCache>
                <c:ptCount val="1"/>
                <c:pt idx="0">
                  <c:v>Roof</c:v>
                </c:pt>
              </c:strCache>
            </c:strRef>
          </c:tx>
          <c:spPr>
            <a:solidFill>
              <a:srgbClr val="4472C4">
                <a:lumMod val="75000"/>
              </a:srgbClr>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bb!$M$107:$N$107</c:f>
              <c:strCache>
                <c:ptCount val="2"/>
                <c:pt idx="0">
                  <c:v>Losses</c:v>
                </c:pt>
                <c:pt idx="1">
                  <c:v>Gains</c:v>
                </c:pt>
              </c:strCache>
            </c:strRef>
          </c:cat>
          <c:val>
            <c:numRef>
              <c:f>bb!$M$115:$N$115</c:f>
              <c:numCache>
                <c:formatCode>General</c:formatCode>
                <c:ptCount val="2"/>
                <c:pt idx="0" formatCode="_(* #,##0_);_(* \(#,##0\);_(* &quot;-&quot;??_);_(@_)">
                  <c:v>5.3077943999999997</c:v>
                </c:pt>
              </c:numCache>
            </c:numRef>
          </c:val>
          <c:extLst>
            <c:ext xmlns:c16="http://schemas.microsoft.com/office/drawing/2014/chart" uri="{C3380CC4-5D6E-409C-BE32-E72D297353CC}">
              <c16:uniqueId val="{00000013-DCD5-4A79-8950-54088792C910}"/>
            </c:ext>
          </c:extLst>
        </c:ser>
        <c:ser>
          <c:idx val="8"/>
          <c:order val="8"/>
          <c:tx>
            <c:strRef>
              <c:f>bb!$L$116</c:f>
              <c:strCache>
                <c:ptCount val="1"/>
                <c:pt idx="0">
                  <c:v>Walls - Below Grade</c:v>
                </c:pt>
              </c:strCache>
            </c:strRef>
          </c:tx>
          <c:spPr>
            <a:solidFill>
              <a:srgbClr val="4472C4">
                <a:lumMod val="60000"/>
                <a:lumOff val="40000"/>
              </a:srgbClr>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bb!$M$107:$N$107</c:f>
              <c:strCache>
                <c:ptCount val="2"/>
                <c:pt idx="0">
                  <c:v>Losses</c:v>
                </c:pt>
                <c:pt idx="1">
                  <c:v>Gains</c:v>
                </c:pt>
              </c:strCache>
            </c:strRef>
          </c:cat>
          <c:val>
            <c:numRef>
              <c:f>bb!$M$116:$N$116</c:f>
              <c:numCache>
                <c:formatCode>General</c:formatCode>
                <c:ptCount val="2"/>
                <c:pt idx="0" formatCode="_(* #,##0_);_(* \(#,##0\);_(* &quot;-&quot;??_);_(@_)">
                  <c:v>1.86578411419196</c:v>
                </c:pt>
              </c:numCache>
            </c:numRef>
          </c:val>
          <c:extLst>
            <c:ext xmlns:c16="http://schemas.microsoft.com/office/drawing/2014/chart" uri="{C3380CC4-5D6E-409C-BE32-E72D297353CC}">
              <c16:uniqueId val="{00000014-DCD5-4A79-8950-54088792C910}"/>
            </c:ext>
          </c:extLst>
        </c:ser>
        <c:ser>
          <c:idx val="9"/>
          <c:order val="9"/>
          <c:tx>
            <c:strRef>
              <c:f>bb!$L$117</c:f>
              <c:strCache>
                <c:ptCount val="1"/>
                <c:pt idx="0">
                  <c:v>Walls</c:v>
                </c:pt>
              </c:strCache>
            </c:strRef>
          </c:tx>
          <c:spPr>
            <a:solidFill>
              <a:srgbClr val="4472C4">
                <a:lumMod val="40000"/>
                <a:lumOff val="60000"/>
              </a:srgbClr>
            </a:solidFill>
          </c:spPr>
          <c:invertIfNegative val="0"/>
          <c:dLbls>
            <c:spPr>
              <a:noFill/>
              <a:ln>
                <a:noFill/>
              </a:ln>
              <a:effectLst/>
            </c:spPr>
            <c:txPr>
              <a:bodyPr wrap="square" lIns="38100" tIns="19050" rIns="38100" bIns="19050" anchor="ctr">
                <a:spAutoFit/>
              </a:bodyPr>
              <a:lstStyle/>
              <a:p>
                <a:pPr>
                  <a:defRPr sz="1050">
                    <a:latin typeface="Tw Cen MT" panose="020B0602020104020603" pitchFamily="34" charset="0"/>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cat>
            <c:strRef>
              <c:f>bb!$M$107:$N$107</c:f>
              <c:strCache>
                <c:ptCount val="2"/>
                <c:pt idx="0">
                  <c:v>Losses</c:v>
                </c:pt>
                <c:pt idx="1">
                  <c:v>Gains</c:v>
                </c:pt>
              </c:strCache>
            </c:strRef>
          </c:cat>
          <c:val>
            <c:numRef>
              <c:f>bb!$M$117:$N$117</c:f>
              <c:numCache>
                <c:formatCode>General</c:formatCode>
                <c:ptCount val="2"/>
                <c:pt idx="0" formatCode="_(* #,##0_);_(* \(#,##0\);_(* &quot;-&quot;??_);_(@_)">
                  <c:v>14.384642145813419</c:v>
                </c:pt>
              </c:numCache>
            </c:numRef>
          </c:val>
          <c:extLst>
            <c:ext xmlns:c16="http://schemas.microsoft.com/office/drawing/2014/chart" uri="{C3380CC4-5D6E-409C-BE32-E72D297353CC}">
              <c16:uniqueId val="{00000015-DCD5-4A79-8950-54088792C910}"/>
            </c:ext>
          </c:extLst>
        </c:ser>
        <c:dLbls>
          <c:showLegendKey val="0"/>
          <c:showVal val="1"/>
          <c:showCatName val="0"/>
          <c:showSerName val="0"/>
          <c:showPercent val="0"/>
          <c:showBubbleSize val="0"/>
        </c:dLbls>
        <c:gapWidth val="25"/>
        <c:gapDepth val="100"/>
        <c:shape val="box"/>
        <c:axId val="977022368"/>
        <c:axId val="977031552"/>
        <c:axId val="0"/>
      </c:bar3DChart>
      <c:catAx>
        <c:axId val="9770223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Tw Cen MT" panose="020B0602020104020603" pitchFamily="34" charset="0"/>
                <a:ea typeface="+mn-ea"/>
                <a:cs typeface="+mn-cs"/>
              </a:defRPr>
            </a:pPr>
            <a:endParaRPr lang="en-US"/>
          </a:p>
        </c:txPr>
        <c:crossAx val="977031552"/>
        <c:crosses val="autoZero"/>
        <c:auto val="1"/>
        <c:lblAlgn val="ctr"/>
        <c:lblOffset val="100"/>
        <c:noMultiLvlLbl val="0"/>
      </c:catAx>
      <c:valAx>
        <c:axId val="9770315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baseline="0">
                    <a:solidFill>
                      <a:sysClr val="windowText" lastClr="000000">
                        <a:lumMod val="65000"/>
                        <a:lumOff val="35000"/>
                      </a:sysClr>
                    </a:solidFill>
                    <a:latin typeface="Tw Cen MT" panose="020B0602020104020603" pitchFamily="34" charset="0"/>
                    <a:ea typeface="+mn-ea"/>
                    <a:cs typeface="+mn-cs"/>
                  </a:defRPr>
                </a:pPr>
                <a:r>
                  <a:rPr lang="en-CA" sz="1800" b="0" i="0" baseline="0">
                    <a:effectLst/>
                  </a:rPr>
                  <a:t>kWh/m²</a:t>
                </a:r>
                <a:endParaRPr lang="en-CA">
                  <a:effectLst/>
                </a:endParaRPr>
              </a:p>
            </c:rich>
          </c:tx>
          <c:layout>
            <c:manualLayout>
              <c:xMode val="edge"/>
              <c:yMode val="edge"/>
              <c:x val="0.10163535353535354"/>
              <c:y val="0.30235111111111118"/>
            </c:manualLayout>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w Cen MT" panose="020B0602020104020603" pitchFamily="34" charset="0"/>
                <a:ea typeface="+mn-ea"/>
                <a:cs typeface="+mn-cs"/>
              </a:defRPr>
            </a:pPr>
            <a:endParaRPr lang="en-US"/>
          </a:p>
        </c:txPr>
        <c:crossAx val="97702236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2.png"/><Relationship Id="rId7"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4.png"/><Relationship Id="rId5" Type="http://schemas.openxmlformats.org/officeDocument/2006/relationships/chart" Target="../charts/chart2.xml"/><Relationship Id="rId10" Type="http://schemas.openxmlformats.org/officeDocument/2006/relationships/chart" Target="../charts/chart4.xml"/><Relationship Id="rId4" Type="http://schemas.openxmlformats.org/officeDocument/2006/relationships/image" Target="../media/image3.png"/><Relationship Id="rId9"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9</xdr:col>
      <xdr:colOff>235028</xdr:colOff>
      <xdr:row>173</xdr:row>
      <xdr:rowOff>145254</xdr:rowOff>
    </xdr:from>
    <xdr:to>
      <xdr:col>17</xdr:col>
      <xdr:colOff>239321</xdr:colOff>
      <xdr:row>200</xdr:row>
      <xdr:rowOff>106048</xdr:rowOff>
    </xdr:to>
    <xdr:graphicFrame macro="">
      <xdr:nvGraphicFramePr>
        <xdr:cNvPr id="6" name="netzeroB">
          <a:extLst>
            <a:ext uri="{FF2B5EF4-FFF2-40B4-BE49-F238E27FC236}">
              <a16:creationId xmlns:a16="http://schemas.microsoft.com/office/drawing/2014/main" id="{0FB17547-7347-4917-8778-95EF0D204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214370</xdr:colOff>
      <xdr:row>55</xdr:row>
      <xdr:rowOff>142875</xdr:rowOff>
    </xdr:from>
    <xdr:to>
      <xdr:col>7</xdr:col>
      <xdr:colOff>740150</xdr:colOff>
      <xdr:row>57</xdr:row>
      <xdr:rowOff>87904</xdr:rowOff>
    </xdr:to>
    <xdr:pic>
      <xdr:nvPicPr>
        <xdr:cNvPr id="2" name="Picture 4">
          <a:extLst>
            <a:ext uri="{FF2B5EF4-FFF2-40B4-BE49-F238E27FC236}">
              <a16:creationId xmlns:a16="http://schemas.microsoft.com/office/drawing/2014/main" id="{5E45AA59-E505-4E09-B5FC-25BD2964A833}"/>
            </a:ext>
            <a:ext uri="{147F2762-F138-4A5C-976F-8EAC2B608ADB}">
              <a16:predDERef xmlns:a16="http://schemas.microsoft.com/office/drawing/2014/main" pred="{E3BECE54-B6C8-4B87-A694-26F7E6F46B85}"/>
            </a:ext>
          </a:extLst>
        </xdr:cNvPr>
        <xdr:cNvPicPr>
          <a:picLocks noChangeAspect="1"/>
        </xdr:cNvPicPr>
      </xdr:nvPicPr>
      <xdr:blipFill>
        <a:blip xmlns:r="http://schemas.openxmlformats.org/officeDocument/2006/relationships" r:embed="rId2"/>
        <a:stretch>
          <a:fillRect/>
        </a:stretch>
      </xdr:blipFill>
      <xdr:spPr>
        <a:xfrm>
          <a:off x="5153083" y="3433763"/>
          <a:ext cx="2783205" cy="497479"/>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319088</xdr:colOff>
      <xdr:row>205</xdr:row>
      <xdr:rowOff>19051</xdr:rowOff>
    </xdr:from>
    <xdr:to>
      <xdr:col>1</xdr:col>
      <xdr:colOff>1236256</xdr:colOff>
      <xdr:row>209</xdr:row>
      <xdr:rowOff>77491</xdr:rowOff>
    </xdr:to>
    <xdr:pic>
      <xdr:nvPicPr>
        <xdr:cNvPr id="17" name="Picture 16">
          <a:extLst>
            <a:ext uri="{FF2B5EF4-FFF2-40B4-BE49-F238E27FC236}">
              <a16:creationId xmlns:a16="http://schemas.microsoft.com/office/drawing/2014/main" id="{77D9B328-80EE-438D-B05E-1533513188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19088" y="38395276"/>
          <a:ext cx="1241018" cy="763290"/>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1400175</xdr:colOff>
      <xdr:row>202</xdr:row>
      <xdr:rowOff>100012</xdr:rowOff>
    </xdr:from>
    <xdr:to>
      <xdr:col>1</xdr:col>
      <xdr:colOff>1890712</xdr:colOff>
      <xdr:row>203</xdr:row>
      <xdr:rowOff>76200</xdr:rowOff>
    </xdr:to>
    <xdr:sp macro="" textlink="">
      <xdr:nvSpPr>
        <xdr:cNvPr id="10" name="Arrow: Right 9">
          <a:extLst>
            <a:ext uri="{FF2B5EF4-FFF2-40B4-BE49-F238E27FC236}">
              <a16:creationId xmlns:a16="http://schemas.microsoft.com/office/drawing/2014/main" id="{DD9550C5-C291-4887-92C0-682BF6E1B1B2}"/>
            </a:ext>
          </a:extLst>
        </xdr:cNvPr>
        <xdr:cNvSpPr/>
      </xdr:nvSpPr>
      <xdr:spPr>
        <a:xfrm rot="20104257">
          <a:off x="1724025" y="37761862"/>
          <a:ext cx="490537" cy="152401"/>
        </a:xfrm>
        <a:prstGeom prst="rightArrow">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oneCell">
    <xdr:from>
      <xdr:col>3</xdr:col>
      <xdr:colOff>650673</xdr:colOff>
      <xdr:row>64</xdr:row>
      <xdr:rowOff>43770</xdr:rowOff>
    </xdr:from>
    <xdr:to>
      <xdr:col>10</xdr:col>
      <xdr:colOff>1483784</xdr:colOff>
      <xdr:row>84</xdr:row>
      <xdr:rowOff>161245</xdr:rowOff>
    </xdr:to>
    <xdr:pic>
      <xdr:nvPicPr>
        <xdr:cNvPr id="18" name="Picture 17">
          <a:extLst>
            <a:ext uri="{FF2B5EF4-FFF2-40B4-BE49-F238E27FC236}">
              <a16:creationId xmlns:a16="http://schemas.microsoft.com/office/drawing/2014/main" id="{B2927E3A-CED8-4200-B67B-125048397523}"/>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836911" y="5182508"/>
          <a:ext cx="5314623" cy="382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7143</xdr:colOff>
      <xdr:row>173</xdr:row>
      <xdr:rowOff>145254</xdr:rowOff>
    </xdr:from>
    <xdr:to>
      <xdr:col>8</xdr:col>
      <xdr:colOff>289824</xdr:colOff>
      <xdr:row>200</xdr:row>
      <xdr:rowOff>106048</xdr:rowOff>
    </xdr:to>
    <xdr:graphicFrame macro="">
      <xdr:nvGraphicFramePr>
        <xdr:cNvPr id="8" name="netzeroA">
          <a:extLst>
            <a:ext uri="{FF2B5EF4-FFF2-40B4-BE49-F238E27FC236}">
              <a16:creationId xmlns:a16="http://schemas.microsoft.com/office/drawing/2014/main" id="{A784E76E-ABF5-417D-9424-81DE87CBF1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233815</xdr:colOff>
      <xdr:row>267</xdr:row>
      <xdr:rowOff>123825</xdr:rowOff>
    </xdr:from>
    <xdr:to>
      <xdr:col>4</xdr:col>
      <xdr:colOff>436020</xdr:colOff>
      <xdr:row>285</xdr:row>
      <xdr:rowOff>166687</xdr:rowOff>
    </xdr:to>
    <xdr:pic>
      <xdr:nvPicPr>
        <xdr:cNvPr id="9" name="Picture 8">
          <a:extLst>
            <a:ext uri="{FF2B5EF4-FFF2-40B4-BE49-F238E27FC236}">
              <a16:creationId xmlns:a16="http://schemas.microsoft.com/office/drawing/2014/main" id="{A964FAE2-977A-4D09-A681-7AA0421DFD32}"/>
            </a:ext>
          </a:extLst>
        </xdr:cNvPr>
        <xdr:cNvPicPr>
          <a:picLocks noChangeAspect="1"/>
        </xdr:cNvPicPr>
      </xdr:nvPicPr>
      <xdr:blipFill>
        <a:blip xmlns:r="http://schemas.openxmlformats.org/officeDocument/2006/relationships" r:embed="rId6"/>
        <a:stretch>
          <a:fillRect/>
        </a:stretch>
      </xdr:blipFill>
      <xdr:spPr>
        <a:xfrm>
          <a:off x="233815" y="50172938"/>
          <a:ext cx="5140918" cy="3214687"/>
        </a:xfrm>
        <a:prstGeom prst="rect">
          <a:avLst/>
        </a:prstGeom>
        <a:effectLst>
          <a:outerShdw blurRad="50800" dist="38100" dir="2700000" algn="tl" rotWithShape="0">
            <a:prstClr val="black">
              <a:alpha val="40000"/>
            </a:prstClr>
          </a:outerShdw>
        </a:effectLst>
      </xdr:spPr>
    </xdr:pic>
    <xdr:clientData/>
  </xdr:twoCellAnchor>
  <xdr:twoCellAnchor>
    <xdr:from>
      <xdr:col>10</xdr:col>
      <xdr:colOff>1819275</xdr:colOff>
      <xdr:row>2</xdr:row>
      <xdr:rowOff>71439</xdr:rowOff>
    </xdr:from>
    <xdr:to>
      <xdr:col>11</xdr:col>
      <xdr:colOff>247651</xdr:colOff>
      <xdr:row>6</xdr:row>
      <xdr:rowOff>14289</xdr:rowOff>
    </xdr:to>
    <xdr:sp macro="" textlink="">
      <xdr:nvSpPr>
        <xdr:cNvPr id="20" name="Arrow: Right 19">
          <a:extLst>
            <a:ext uri="{FF2B5EF4-FFF2-40B4-BE49-F238E27FC236}">
              <a16:creationId xmlns:a16="http://schemas.microsoft.com/office/drawing/2014/main" id="{5F640277-5C49-498F-9986-B4685B5E33B5}"/>
            </a:ext>
          </a:extLst>
        </xdr:cNvPr>
        <xdr:cNvSpPr/>
      </xdr:nvSpPr>
      <xdr:spPr>
        <a:xfrm rot="5400000">
          <a:off x="10382251" y="614364"/>
          <a:ext cx="490537" cy="328613"/>
        </a:xfrm>
        <a:prstGeom prst="rightArrow">
          <a:avLst/>
        </a:prstGeom>
        <a:solidFill>
          <a:schemeClr val="accent6">
            <a:lumMod val="40000"/>
            <a:lumOff val="60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editAs="oneCell">
    <xdr:from>
      <xdr:col>0</xdr:col>
      <xdr:colOff>304800</xdr:colOff>
      <xdr:row>297</xdr:row>
      <xdr:rowOff>130407</xdr:rowOff>
    </xdr:from>
    <xdr:to>
      <xdr:col>4</xdr:col>
      <xdr:colOff>231588</xdr:colOff>
      <xdr:row>320</xdr:row>
      <xdr:rowOff>21449</xdr:rowOff>
    </xdr:to>
    <xdr:pic>
      <xdr:nvPicPr>
        <xdr:cNvPr id="24" name="Picture 23">
          <a:extLst>
            <a:ext uri="{FF2B5EF4-FFF2-40B4-BE49-F238E27FC236}">
              <a16:creationId xmlns:a16="http://schemas.microsoft.com/office/drawing/2014/main" id="{31C278D2-9B95-4AC2-8C14-8471ED451FBF}"/>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304800" y="55551620"/>
          <a:ext cx="4865501" cy="3948692"/>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218703</xdr:colOff>
      <xdr:row>58</xdr:row>
      <xdr:rowOff>47625</xdr:rowOff>
    </xdr:from>
    <xdr:to>
      <xdr:col>10</xdr:col>
      <xdr:colOff>54350</xdr:colOff>
      <xdr:row>62</xdr:row>
      <xdr:rowOff>64903</xdr:rowOff>
    </xdr:to>
    <xdr:pic>
      <xdr:nvPicPr>
        <xdr:cNvPr id="14" name="Picture 13">
          <a:extLst>
            <a:ext uri="{FF2B5EF4-FFF2-40B4-BE49-F238E27FC236}">
              <a16:creationId xmlns:a16="http://schemas.microsoft.com/office/drawing/2014/main" id="{6E2E0255-8851-4736-A457-7312D96B18F3}"/>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157416" y="4086225"/>
          <a:ext cx="3564684" cy="760228"/>
        </a:xfrm>
        <a:prstGeom prst="rect">
          <a:avLst/>
        </a:prstGeom>
        <a:noFill/>
        <a:effectLst>
          <a:outerShdw blurRad="50800" dist="38100" dir="2700000" algn="tl" rotWithShape="0">
            <a:prstClr val="black">
              <a:alpha val="40000"/>
            </a:prstClr>
          </a:outerShdw>
        </a:effectLst>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103</xdr:row>
      <xdr:rowOff>55282</xdr:rowOff>
    </xdr:from>
    <xdr:to>
      <xdr:col>8</xdr:col>
      <xdr:colOff>120706</xdr:colOff>
      <xdr:row>122</xdr:row>
      <xdr:rowOff>159047</xdr:rowOff>
    </xdr:to>
    <xdr:graphicFrame macro="">
      <xdr:nvGraphicFramePr>
        <xdr:cNvPr id="3" name="heatbalanceA">
          <a:extLst>
            <a:ext uri="{FF2B5EF4-FFF2-40B4-BE49-F238E27FC236}">
              <a16:creationId xmlns:a16="http://schemas.microsoft.com/office/drawing/2014/main" id="{2465C320-1A16-4DB6-8D56-A95B3A85EA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149413</xdr:colOff>
      <xdr:row>103</xdr:row>
      <xdr:rowOff>55282</xdr:rowOff>
    </xdr:from>
    <xdr:to>
      <xdr:col>17</xdr:col>
      <xdr:colOff>270119</xdr:colOff>
      <xdr:row>122</xdr:row>
      <xdr:rowOff>159047</xdr:rowOff>
    </xdr:to>
    <xdr:graphicFrame macro="">
      <xdr:nvGraphicFramePr>
        <xdr:cNvPr id="5" name="heatbalanceB">
          <a:extLst>
            <a:ext uri="{FF2B5EF4-FFF2-40B4-BE49-F238E27FC236}">
              <a16:creationId xmlns:a16="http://schemas.microsoft.com/office/drawing/2014/main" id="{EA556D66-7DA4-4A39-8CF6-C8E42A9A09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brightbuildings.ca/" TargetMode="External"/><Relationship Id="rId1" Type="http://schemas.openxmlformats.org/officeDocument/2006/relationships/hyperlink" Target="https://www.saskatoon.ca/HELPHome"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988B8-5687-4AFB-BDBB-6338DD7B8AA7}">
  <sheetPr codeName="Sheet1">
    <tabColor rgb="FFF9FC92"/>
    <pageSetUpPr fitToPage="1"/>
  </sheetPr>
  <dimension ref="A1:GE348"/>
  <sheetViews>
    <sheetView showGridLines="0" tabSelected="1" zoomScaleNormal="100" workbookViewId="0">
      <pane ySplit="1" topLeftCell="A2" activePane="bottomLeft" state="frozen"/>
      <selection pane="bottomLeft" activeCell="A2" sqref="A2"/>
    </sheetView>
  </sheetViews>
  <sheetFormatPr defaultColWidth="9.19921875" defaultRowHeight="13.9" outlineLevelRow="1" outlineLevelCol="1" x14ac:dyDescent="0.4"/>
  <cols>
    <col min="1" max="1" width="4.53125" style="1" customWidth="1"/>
    <col min="2" max="2" width="27.53125" style="1" customWidth="1"/>
    <col min="3" max="3" width="26.53125" style="1" customWidth="1"/>
    <col min="4" max="8" width="10.53125" style="1" customWidth="1"/>
    <col min="9" max="9" width="5.53125" style="1" customWidth="1"/>
    <col min="10" max="10" width="4.53125" style="1" customWidth="1" outlineLevel="1"/>
    <col min="11" max="11" width="27.53125" style="1" customWidth="1" outlineLevel="1"/>
    <col min="12" max="12" width="26.53125" style="1" customWidth="1" outlineLevel="1"/>
    <col min="13" max="20" width="10.53125" style="1" customWidth="1" outlineLevel="1"/>
    <col min="21" max="21" width="9.19921875" style="1"/>
    <col min="22" max="22" width="9.19921875" style="7"/>
    <col min="23" max="23" width="10.796875" style="7" hidden="1" customWidth="1" outlineLevel="1"/>
    <col min="24" max="27" width="9.53125" style="7" hidden="1" customWidth="1" outlineLevel="1"/>
    <col min="28" max="28" width="12.53125" style="7" hidden="1" customWidth="1" outlineLevel="1"/>
    <col min="29" max="30" width="9.53125" style="7" hidden="1" customWidth="1" outlineLevel="1"/>
    <col min="31" max="31" width="13.796875" style="7" hidden="1" customWidth="1" outlineLevel="1"/>
    <col min="32" max="32" width="8.73046875" style="7" hidden="1" customWidth="1" outlineLevel="1"/>
    <col min="33" max="33" width="10.53125" style="7" customWidth="1" collapsed="1"/>
    <col min="34" max="34" width="8.73046875" style="7" customWidth="1"/>
    <col min="35" max="46" width="19.796875" style="7" hidden="1" customWidth="1" outlineLevel="1"/>
    <col min="47" max="47" width="6.796875" style="7" customWidth="1" collapsed="1"/>
    <col min="48" max="48" width="6.796875" style="7" customWidth="1"/>
    <col min="49" max="49" width="9.19921875" style="7"/>
    <col min="50" max="50" width="23.46484375" style="7" hidden="1" customWidth="1" outlineLevel="1"/>
    <col min="51" max="65" width="24.19921875" style="67" hidden="1" customWidth="1" outlineLevel="1"/>
    <col min="66" max="66" width="9.19921875" style="7" collapsed="1"/>
    <col min="67" max="185" width="9.19921875" style="7"/>
    <col min="186" max="16384" width="9.19921875" style="1"/>
  </cols>
  <sheetData>
    <row r="1" spans="1:65" x14ac:dyDescent="0.4">
      <c r="A1" s="7"/>
      <c r="B1" s="7"/>
      <c r="C1" s="7"/>
      <c r="D1" s="7"/>
      <c r="E1" s="7"/>
      <c r="F1" s="7"/>
      <c r="G1" s="7"/>
      <c r="H1" s="7"/>
      <c r="I1" s="84" t="s">
        <v>452</v>
      </c>
      <c r="J1" s="79"/>
      <c r="K1" s="79"/>
      <c r="L1" s="79"/>
      <c r="M1" s="79"/>
      <c r="N1" s="79"/>
      <c r="O1" s="79"/>
      <c r="P1" s="79"/>
      <c r="Q1" s="79"/>
      <c r="R1" s="79"/>
      <c r="S1" s="79"/>
      <c r="T1" s="79"/>
      <c r="V1" s="84" t="s">
        <v>0</v>
      </c>
      <c r="AH1" s="84" t="s">
        <v>1</v>
      </c>
      <c r="AI1" s="105"/>
      <c r="AJ1" s="105"/>
      <c r="AK1" s="105"/>
      <c r="AL1" s="105"/>
      <c r="AM1" s="105"/>
      <c r="AN1" s="105"/>
      <c r="AO1" s="105"/>
      <c r="AP1" s="105"/>
      <c r="AQ1" s="105"/>
      <c r="AR1" s="105"/>
      <c r="AS1" s="105"/>
      <c r="AT1" s="105"/>
      <c r="AW1" s="84" t="s">
        <v>2</v>
      </c>
      <c r="AX1" s="40"/>
      <c r="AY1" s="141"/>
      <c r="AZ1" s="122"/>
      <c r="BA1" s="141"/>
      <c r="BB1" s="122"/>
      <c r="BC1" s="141"/>
      <c r="BD1" s="122"/>
      <c r="BE1" s="141"/>
      <c r="BF1" s="122"/>
      <c r="BG1" s="141"/>
      <c r="BH1" s="122"/>
      <c r="BI1" s="141"/>
      <c r="BJ1" s="122"/>
      <c r="BK1" s="141"/>
      <c r="BL1" s="122"/>
      <c r="BM1" s="141"/>
    </row>
    <row r="2" spans="1:65" s="7" customFormat="1" ht="18.5" customHeight="1" x14ac:dyDescent="0.6">
      <c r="B2" s="243" t="s">
        <v>449</v>
      </c>
      <c r="C2" s="87"/>
      <c r="K2" s="7" t="s">
        <v>3</v>
      </c>
      <c r="M2" s="1"/>
      <c r="N2" s="1"/>
      <c r="O2" s="1"/>
      <c r="P2" s="1"/>
      <c r="Q2" s="1"/>
      <c r="R2" s="1"/>
      <c r="S2" s="1"/>
      <c r="T2" s="1"/>
      <c r="U2" s="1"/>
      <c r="AY2" s="67"/>
      <c r="AZ2" s="67"/>
      <c r="BA2" s="67"/>
      <c r="BB2" s="67"/>
      <c r="BC2" s="67"/>
      <c r="BD2" s="67"/>
      <c r="BE2" s="67"/>
      <c r="BF2" s="67"/>
      <c r="BG2" s="67"/>
      <c r="BH2" s="67"/>
      <c r="BI2" s="67"/>
      <c r="BJ2" s="67"/>
      <c r="BK2" s="67"/>
      <c r="BL2" s="67"/>
      <c r="BM2" s="67"/>
    </row>
    <row r="3" spans="1:65" s="7" customFormat="1" ht="17.25" x14ac:dyDescent="0.45">
      <c r="B3" s="244" t="s">
        <v>501</v>
      </c>
      <c r="M3" s="1"/>
      <c r="N3" s="1"/>
      <c r="O3" s="1"/>
      <c r="P3" s="1"/>
      <c r="Q3" s="1"/>
      <c r="R3" s="1"/>
      <c r="S3" s="1"/>
      <c r="T3" s="1"/>
      <c r="U3" s="1"/>
      <c r="AY3" s="67"/>
      <c r="AZ3" s="67"/>
      <c r="BA3" s="67"/>
      <c r="BB3" s="67"/>
      <c r="BC3" s="67"/>
      <c r="BD3" s="67"/>
      <c r="BE3" s="67"/>
      <c r="BF3" s="67"/>
      <c r="BG3" s="67"/>
      <c r="BH3" s="67"/>
      <c r="BI3" s="67"/>
      <c r="BJ3" s="67"/>
      <c r="BK3" s="67"/>
      <c r="BL3" s="67"/>
      <c r="BM3" s="67"/>
    </row>
    <row r="4" spans="1:65" s="7" customFormat="1" ht="14.25" x14ac:dyDescent="0.45">
      <c r="B4" s="245">
        <f ca="1">TODAY()</f>
        <v>44816</v>
      </c>
      <c r="E4" s="242"/>
      <c r="F4" s="242"/>
      <c r="G4" s="242"/>
      <c r="H4" s="242"/>
      <c r="M4" s="1"/>
      <c r="N4" s="1"/>
      <c r="O4" s="1"/>
      <c r="P4" s="1"/>
      <c r="Q4" s="1"/>
      <c r="R4" s="1"/>
      <c r="S4" s="1"/>
      <c r="T4" s="1"/>
      <c r="U4" s="1"/>
      <c r="AY4" s="67"/>
      <c r="AZ4" s="67"/>
      <c r="BA4" s="67"/>
      <c r="BB4" s="67"/>
      <c r="BC4" s="67"/>
      <c r="BD4" s="67"/>
      <c r="BE4" s="67"/>
      <c r="BF4" s="67"/>
      <c r="BG4" s="67"/>
      <c r="BH4" s="67"/>
      <c r="BI4" s="67"/>
      <c r="BJ4" s="67"/>
      <c r="BK4" s="67"/>
      <c r="BL4" s="67"/>
      <c r="BM4" s="67"/>
    </row>
    <row r="5" spans="1:65" s="7" customFormat="1" ht="14.25" x14ac:dyDescent="0.45">
      <c r="B5" s="241" t="s">
        <v>445</v>
      </c>
      <c r="M5" s="1"/>
      <c r="N5" s="1"/>
      <c r="O5" s="1"/>
      <c r="P5" s="1"/>
      <c r="Q5" s="1"/>
      <c r="R5" s="1"/>
      <c r="S5" s="1"/>
      <c r="T5" s="1"/>
      <c r="U5" s="1"/>
      <c r="AY5" s="67"/>
      <c r="AZ5" s="67"/>
      <c r="BA5" s="67"/>
      <c r="BB5" s="67"/>
      <c r="BC5" s="67"/>
      <c r="BD5" s="67"/>
      <c r="BE5" s="67"/>
      <c r="BF5" s="67"/>
      <c r="BG5" s="67"/>
      <c r="BH5" s="67"/>
      <c r="BI5" s="67"/>
      <c r="BJ5" s="67"/>
      <c r="BK5" s="67"/>
      <c r="BL5" s="67"/>
      <c r="BM5" s="67"/>
    </row>
    <row r="6" spans="1:65" s="7" customFormat="1" ht="14.25" x14ac:dyDescent="0.45">
      <c r="B6" s="241"/>
      <c r="M6" s="1"/>
      <c r="N6" s="1"/>
      <c r="O6" s="1"/>
      <c r="P6" s="1"/>
      <c r="Q6" s="1"/>
      <c r="R6" s="1"/>
      <c r="S6" s="1"/>
      <c r="T6" s="1"/>
      <c r="U6" s="1"/>
      <c r="AY6" s="67"/>
      <c r="AZ6" s="67"/>
      <c r="BA6" s="67"/>
      <c r="BB6" s="67"/>
      <c r="BC6" s="67"/>
      <c r="BD6" s="67"/>
      <c r="BE6" s="67"/>
      <c r="BF6" s="67"/>
      <c r="BG6" s="67"/>
      <c r="BH6" s="67"/>
      <c r="BI6" s="67"/>
      <c r="BJ6" s="67"/>
      <c r="BK6" s="67"/>
      <c r="BL6" s="67"/>
      <c r="BM6" s="67"/>
    </row>
    <row r="7" spans="1:65" s="7" customFormat="1" x14ac:dyDescent="0.4">
      <c r="B7" s="9" t="s">
        <v>4</v>
      </c>
      <c r="M7" s="1"/>
      <c r="N7" s="1"/>
      <c r="O7" s="1"/>
      <c r="P7" s="1"/>
      <c r="Q7" s="1"/>
      <c r="R7" s="1"/>
      <c r="S7" s="1"/>
      <c r="T7" s="1"/>
      <c r="U7" s="1"/>
      <c r="AY7" s="67"/>
      <c r="AZ7" s="67"/>
      <c r="BA7" s="67"/>
      <c r="BB7" s="67"/>
      <c r="BC7" s="67"/>
      <c r="BD7" s="67"/>
      <c r="BE7" s="67"/>
      <c r="BF7" s="67"/>
      <c r="BG7" s="67"/>
      <c r="BH7" s="67"/>
      <c r="BI7" s="67"/>
      <c r="BJ7" s="67"/>
      <c r="BK7" s="67"/>
      <c r="BL7" s="67"/>
      <c r="BM7" s="67"/>
    </row>
    <row r="8" spans="1:65" s="7" customFormat="1" x14ac:dyDescent="0.4">
      <c r="B8" s="285" t="s">
        <v>502</v>
      </c>
      <c r="C8" s="285"/>
      <c r="D8" s="285"/>
      <c r="E8" s="285"/>
      <c r="F8" s="285"/>
      <c r="G8" s="285"/>
      <c r="H8" s="285"/>
      <c r="M8" s="1"/>
      <c r="N8" s="1"/>
      <c r="O8" s="1"/>
      <c r="P8" s="1"/>
      <c r="Q8" s="1"/>
      <c r="R8" s="1"/>
      <c r="S8" s="1"/>
      <c r="T8" s="1"/>
      <c r="U8" s="1"/>
      <c r="AY8" s="67"/>
      <c r="AZ8" s="67"/>
      <c r="BA8" s="67"/>
      <c r="BB8" s="67"/>
      <c r="BC8" s="67"/>
      <c r="BD8" s="67"/>
      <c r="BE8" s="67"/>
      <c r="BF8" s="67"/>
      <c r="BG8" s="67"/>
      <c r="BH8" s="67"/>
      <c r="BI8" s="67"/>
      <c r="BJ8" s="67"/>
      <c r="BK8" s="67"/>
      <c r="BL8" s="67"/>
      <c r="BM8" s="67"/>
    </row>
    <row r="9" spans="1:65" s="7" customFormat="1" x14ac:dyDescent="0.4">
      <c r="B9" s="301" t="s">
        <v>500</v>
      </c>
      <c r="C9" s="301"/>
      <c r="D9" s="301"/>
      <c r="E9" s="301"/>
      <c r="F9" s="301"/>
      <c r="G9" s="301"/>
      <c r="H9" s="301"/>
      <c r="M9" s="1"/>
      <c r="N9" s="1"/>
      <c r="O9" s="1"/>
      <c r="P9" s="1"/>
      <c r="Q9" s="1"/>
      <c r="R9" s="1"/>
      <c r="S9" s="1"/>
      <c r="T9" s="1"/>
      <c r="U9" s="1"/>
      <c r="AY9" s="67"/>
      <c r="AZ9" s="67"/>
      <c r="BA9" s="67"/>
      <c r="BB9" s="67"/>
      <c r="BC9" s="67"/>
      <c r="BD9" s="67"/>
      <c r="BE9" s="67"/>
      <c r="BF9" s="67"/>
      <c r="BG9" s="67"/>
      <c r="BH9" s="67"/>
      <c r="BI9" s="67"/>
      <c r="BJ9" s="67"/>
      <c r="BK9" s="67"/>
      <c r="BL9" s="67"/>
      <c r="BM9" s="67"/>
    </row>
    <row r="10" spans="1:65" s="7" customFormat="1" x14ac:dyDescent="0.4">
      <c r="B10" s="238"/>
      <c r="C10" s="238"/>
      <c r="D10" s="238"/>
      <c r="E10" s="238"/>
      <c r="F10" s="238"/>
      <c r="G10" s="238"/>
      <c r="H10" s="238"/>
      <c r="M10" s="1"/>
      <c r="N10" s="1"/>
      <c r="O10" s="1"/>
      <c r="P10" s="1"/>
      <c r="Q10" s="1"/>
      <c r="R10" s="1"/>
      <c r="S10" s="1"/>
      <c r="T10" s="1"/>
      <c r="U10" s="1"/>
      <c r="AY10" s="67"/>
      <c r="AZ10" s="67"/>
      <c r="BA10" s="67"/>
      <c r="BB10" s="67"/>
      <c r="BC10" s="67"/>
      <c r="BD10" s="67"/>
      <c r="BE10" s="67"/>
      <c r="BF10" s="67"/>
      <c r="BG10" s="67"/>
      <c r="BH10" s="67"/>
      <c r="BI10" s="67"/>
      <c r="BJ10" s="67"/>
      <c r="BK10" s="67"/>
      <c r="BL10" s="67"/>
      <c r="BM10" s="67"/>
    </row>
    <row r="11" spans="1:65" s="7" customFormat="1" x14ac:dyDescent="0.4">
      <c r="B11" s="240" t="s">
        <v>444</v>
      </c>
      <c r="C11" s="238"/>
      <c r="D11" s="238"/>
      <c r="E11" s="238"/>
      <c r="F11" s="238"/>
      <c r="G11" s="238"/>
      <c r="H11" s="238"/>
      <c r="M11" s="1"/>
      <c r="N11" s="1"/>
      <c r="O11" s="1"/>
      <c r="P11" s="1"/>
      <c r="Q11" s="1"/>
      <c r="R11" s="1"/>
      <c r="S11" s="1"/>
      <c r="T11" s="1"/>
      <c r="U11" s="1"/>
      <c r="AY11" s="67"/>
      <c r="AZ11" s="67"/>
      <c r="BA11" s="67"/>
      <c r="BB11" s="67"/>
      <c r="BC11" s="67"/>
      <c r="BD11" s="67"/>
      <c r="BE11" s="67"/>
      <c r="BF11" s="67"/>
      <c r="BG11" s="67"/>
      <c r="BH11" s="67"/>
      <c r="BI11" s="67"/>
      <c r="BJ11" s="67"/>
      <c r="BK11" s="67"/>
      <c r="BL11" s="67"/>
      <c r="BM11" s="67"/>
    </row>
    <row r="12" spans="1:65" s="7" customFormat="1" x14ac:dyDescent="0.4">
      <c r="B12" s="284" t="s">
        <v>454</v>
      </c>
      <c r="C12" s="284"/>
      <c r="D12" s="284"/>
      <c r="E12" s="284"/>
      <c r="F12" s="284"/>
      <c r="G12" s="284"/>
      <c r="H12" s="284"/>
      <c r="M12" s="1"/>
      <c r="N12" s="1"/>
      <c r="O12" s="1"/>
      <c r="P12" s="1"/>
      <c r="Q12" s="1"/>
      <c r="R12" s="1"/>
      <c r="S12" s="1"/>
      <c r="T12" s="1"/>
      <c r="U12" s="1"/>
      <c r="AY12" s="67"/>
      <c r="AZ12" s="67"/>
      <c r="BA12" s="67"/>
      <c r="BB12" s="67"/>
      <c r="BC12" s="67"/>
      <c r="BD12" s="67"/>
      <c r="BE12" s="67"/>
      <c r="BF12" s="67"/>
      <c r="BG12" s="67"/>
      <c r="BH12" s="67"/>
      <c r="BI12" s="67"/>
      <c r="BJ12" s="67"/>
      <c r="BK12" s="67"/>
      <c r="BL12" s="67"/>
      <c r="BM12" s="67"/>
    </row>
    <row r="13" spans="1:65" s="7" customFormat="1" x14ac:dyDescent="0.4">
      <c r="B13" s="284" t="s">
        <v>451</v>
      </c>
      <c r="C13" s="284"/>
      <c r="D13" s="284"/>
      <c r="E13" s="284"/>
      <c r="F13" s="284"/>
      <c r="G13" s="284"/>
      <c r="H13" s="284"/>
      <c r="M13" s="1"/>
      <c r="N13" s="1"/>
      <c r="O13" s="1"/>
      <c r="P13" s="1"/>
      <c r="Q13" s="1"/>
      <c r="R13" s="1"/>
      <c r="S13" s="1"/>
      <c r="T13" s="1"/>
      <c r="U13" s="1"/>
      <c r="AY13" s="67"/>
      <c r="AZ13" s="67"/>
      <c r="BA13" s="67"/>
      <c r="BB13" s="67"/>
      <c r="BC13" s="67"/>
      <c r="BD13" s="67"/>
      <c r="BE13" s="67"/>
      <c r="BF13" s="67"/>
      <c r="BG13" s="67"/>
      <c r="BH13" s="67"/>
      <c r="BI13" s="67"/>
      <c r="BJ13" s="67"/>
      <c r="BK13" s="67"/>
      <c r="BL13" s="67"/>
      <c r="BM13" s="67"/>
    </row>
    <row r="14" spans="1:65" s="7" customFormat="1" x14ac:dyDescent="0.4">
      <c r="B14" s="285" t="s">
        <v>446</v>
      </c>
      <c r="C14" s="285"/>
      <c r="D14" s="285"/>
      <c r="E14" s="285"/>
      <c r="F14" s="285"/>
      <c r="G14" s="285"/>
      <c r="H14" s="285"/>
      <c r="M14" s="1"/>
      <c r="N14" s="1"/>
      <c r="O14" s="1"/>
      <c r="P14" s="1"/>
      <c r="Q14" s="1"/>
      <c r="R14" s="1"/>
      <c r="S14" s="1"/>
      <c r="T14" s="1"/>
      <c r="U14" s="1"/>
      <c r="AY14" s="67"/>
      <c r="AZ14" s="67"/>
      <c r="BA14" s="67"/>
      <c r="BB14" s="67"/>
      <c r="BC14" s="67"/>
      <c r="BD14" s="67"/>
      <c r="BE14" s="67"/>
      <c r="BF14" s="67"/>
      <c r="BG14" s="67"/>
      <c r="BH14" s="67"/>
      <c r="BI14" s="67"/>
      <c r="BJ14" s="67"/>
      <c r="BK14" s="67"/>
      <c r="BL14" s="67"/>
      <c r="BM14" s="67"/>
    </row>
    <row r="15" spans="1:65" s="7" customFormat="1" x14ac:dyDescent="0.4">
      <c r="B15" s="239" t="s">
        <v>447</v>
      </c>
      <c r="C15" s="239"/>
      <c r="D15" s="239"/>
      <c r="E15" s="239"/>
      <c r="F15" s="239"/>
      <c r="G15" s="239"/>
      <c r="H15" s="239"/>
      <c r="M15" s="1"/>
      <c r="N15" s="1"/>
      <c r="O15" s="1"/>
      <c r="P15" s="1"/>
      <c r="Q15" s="1"/>
      <c r="R15" s="1"/>
      <c r="S15" s="1"/>
      <c r="T15" s="1"/>
      <c r="U15" s="1"/>
      <c r="AY15" s="67"/>
      <c r="AZ15" s="67"/>
      <c r="BA15" s="67"/>
      <c r="BB15" s="67"/>
      <c r="BC15" s="67"/>
      <c r="BD15" s="67"/>
      <c r="BE15" s="67"/>
      <c r="BF15" s="67"/>
      <c r="BG15" s="67"/>
      <c r="BH15" s="67"/>
      <c r="BI15" s="67"/>
      <c r="BJ15" s="67"/>
      <c r="BK15" s="67"/>
      <c r="BL15" s="67"/>
      <c r="BM15" s="67"/>
    </row>
    <row r="16" spans="1:65" s="7" customFormat="1" x14ac:dyDescent="0.4">
      <c r="B16" s="238"/>
      <c r="C16" s="238"/>
      <c r="D16" s="238"/>
      <c r="E16" s="238"/>
      <c r="F16" s="238"/>
      <c r="G16" s="238"/>
      <c r="H16" s="238"/>
      <c r="M16" s="1"/>
      <c r="N16" s="1"/>
      <c r="O16" s="1"/>
      <c r="P16" s="1"/>
      <c r="Q16" s="1"/>
      <c r="R16" s="1"/>
      <c r="S16" s="1"/>
      <c r="T16" s="1"/>
      <c r="U16" s="1"/>
      <c r="AY16" s="67"/>
      <c r="AZ16" s="67"/>
      <c r="BA16" s="67"/>
      <c r="BB16" s="67"/>
      <c r="BC16" s="67"/>
      <c r="BD16" s="67"/>
      <c r="BE16" s="67"/>
      <c r="BF16" s="67"/>
      <c r="BG16" s="67"/>
      <c r="BH16" s="67"/>
      <c r="BI16" s="67"/>
      <c r="BJ16" s="67"/>
      <c r="BK16" s="67"/>
      <c r="BL16" s="67"/>
      <c r="BM16" s="67"/>
    </row>
    <row r="17" spans="1:65" s="7" customFormat="1" x14ac:dyDescent="0.4">
      <c r="B17" s="9" t="s">
        <v>448</v>
      </c>
      <c r="M17" s="1"/>
      <c r="N17" s="1"/>
      <c r="O17" s="1"/>
      <c r="P17" s="1"/>
      <c r="Q17" s="1"/>
      <c r="R17" s="1"/>
      <c r="S17" s="1"/>
      <c r="T17" s="1"/>
      <c r="U17" s="1"/>
      <c r="AY17" s="67"/>
      <c r="AZ17" s="67"/>
      <c r="BA17" s="67"/>
      <c r="BB17" s="67"/>
      <c r="BC17" s="67"/>
      <c r="BD17" s="67"/>
      <c r="BE17" s="67"/>
      <c r="BF17" s="67"/>
      <c r="BG17" s="67"/>
      <c r="BH17" s="67"/>
      <c r="BI17" s="67"/>
      <c r="BJ17" s="67"/>
      <c r="BK17" s="67"/>
      <c r="BL17" s="67"/>
      <c r="BM17" s="67"/>
    </row>
    <row r="18" spans="1:65" s="7" customFormat="1" hidden="1" outlineLevel="1" x14ac:dyDescent="0.4">
      <c r="B18" s="285" t="s">
        <v>5</v>
      </c>
      <c r="C18" s="285"/>
      <c r="D18" s="285"/>
      <c r="E18" s="285"/>
      <c r="F18" s="285"/>
      <c r="G18" s="285"/>
      <c r="H18" s="285"/>
      <c r="M18" s="1"/>
      <c r="N18" s="1"/>
      <c r="O18" s="1"/>
      <c r="P18" s="1"/>
      <c r="Q18" s="1"/>
      <c r="R18" s="1"/>
      <c r="S18" s="1"/>
      <c r="T18" s="1"/>
      <c r="U18" s="1"/>
      <c r="AY18" s="67"/>
      <c r="AZ18" s="67"/>
      <c r="BA18" s="67"/>
      <c r="BB18" s="67"/>
      <c r="BC18" s="67"/>
      <c r="BD18" s="67"/>
      <c r="BE18" s="67"/>
      <c r="BF18" s="67"/>
      <c r="BG18" s="67"/>
      <c r="BH18" s="67"/>
      <c r="BI18" s="67"/>
      <c r="BJ18" s="67"/>
      <c r="BK18" s="67"/>
      <c r="BL18" s="67"/>
      <c r="BM18" s="67"/>
    </row>
    <row r="19" spans="1:65" s="7" customFormat="1" ht="27" hidden="1" customHeight="1" outlineLevel="1" x14ac:dyDescent="0.4">
      <c r="B19" s="300" t="s">
        <v>6</v>
      </c>
      <c r="C19" s="300"/>
      <c r="D19" s="300"/>
      <c r="E19" s="300"/>
      <c r="F19" s="300"/>
      <c r="G19" s="300"/>
      <c r="H19" s="300"/>
      <c r="M19" s="1"/>
      <c r="N19" s="1"/>
      <c r="O19" s="1"/>
      <c r="P19" s="1"/>
      <c r="Q19" s="1"/>
      <c r="R19" s="1"/>
      <c r="S19" s="1"/>
      <c r="T19" s="1"/>
      <c r="U19" s="1"/>
      <c r="AY19" s="67"/>
      <c r="AZ19" s="67"/>
      <c r="BA19" s="67"/>
      <c r="BB19" s="67"/>
      <c r="BC19" s="67"/>
      <c r="BD19" s="67"/>
      <c r="BE19" s="67"/>
      <c r="BF19" s="67"/>
      <c r="BG19" s="67"/>
      <c r="BH19" s="67"/>
      <c r="BI19" s="67"/>
      <c r="BJ19" s="67"/>
      <c r="BK19" s="67"/>
      <c r="BL19" s="67"/>
      <c r="BM19" s="67"/>
    </row>
    <row r="20" spans="1:65" s="7" customFormat="1" hidden="1" outlineLevel="1" x14ac:dyDescent="0.4">
      <c r="B20" s="285" t="s">
        <v>7</v>
      </c>
      <c r="C20" s="285"/>
      <c r="D20" s="285"/>
      <c r="E20" s="285"/>
      <c r="F20" s="285"/>
      <c r="G20" s="285"/>
      <c r="H20" s="285"/>
      <c r="M20" s="1"/>
      <c r="N20" s="1"/>
      <c r="O20" s="1"/>
      <c r="P20" s="1"/>
      <c r="Q20" s="1"/>
      <c r="R20" s="1"/>
      <c r="S20" s="1"/>
      <c r="T20" s="1"/>
      <c r="U20" s="1"/>
      <c r="AY20" s="67"/>
      <c r="AZ20" s="67"/>
      <c r="BA20" s="67"/>
      <c r="BB20" s="67"/>
      <c r="BC20" s="67"/>
      <c r="BD20" s="67"/>
      <c r="BE20" s="67"/>
      <c r="BF20" s="67"/>
      <c r="BG20" s="67"/>
      <c r="BH20" s="67"/>
      <c r="BI20" s="67"/>
      <c r="BJ20" s="67"/>
      <c r="BK20" s="67"/>
      <c r="BL20" s="67"/>
      <c r="BM20" s="67"/>
    </row>
    <row r="21" spans="1:65" s="7" customFormat="1" hidden="1" outlineLevel="1" x14ac:dyDescent="0.4">
      <c r="B21" s="285" t="s">
        <v>8</v>
      </c>
      <c r="C21" s="285"/>
      <c r="D21" s="285"/>
      <c r="E21" s="285"/>
      <c r="F21" s="285"/>
      <c r="G21" s="285"/>
      <c r="H21" s="285"/>
      <c r="M21" s="1"/>
      <c r="N21" s="1"/>
      <c r="O21" s="1"/>
      <c r="P21" s="1"/>
      <c r="Q21" s="1"/>
      <c r="R21" s="1"/>
      <c r="S21" s="1"/>
      <c r="T21" s="1"/>
      <c r="U21" s="1"/>
      <c r="AY21" s="67"/>
      <c r="AZ21" s="67"/>
      <c r="BA21" s="67"/>
      <c r="BB21" s="67"/>
      <c r="BC21" s="67"/>
      <c r="BD21" s="67"/>
      <c r="BE21" s="67"/>
      <c r="BF21" s="67"/>
      <c r="BG21" s="67"/>
      <c r="BH21" s="67"/>
      <c r="BI21" s="67"/>
      <c r="BJ21" s="67"/>
      <c r="BK21" s="67"/>
      <c r="BL21" s="67"/>
      <c r="BM21" s="67"/>
    </row>
    <row r="22" spans="1:65" s="7" customFormat="1" hidden="1" outlineLevel="1" x14ac:dyDescent="0.4">
      <c r="B22" s="285" t="s">
        <v>9</v>
      </c>
      <c r="C22" s="285"/>
      <c r="D22" s="285"/>
      <c r="E22" s="285"/>
      <c r="F22" s="285"/>
      <c r="G22" s="285"/>
      <c r="H22" s="285"/>
      <c r="M22" s="1"/>
      <c r="N22" s="1"/>
      <c r="O22" s="1"/>
      <c r="P22" s="1"/>
      <c r="Q22" s="1"/>
      <c r="R22" s="1"/>
      <c r="S22" s="1"/>
      <c r="T22" s="1"/>
      <c r="U22" s="1"/>
      <c r="AY22" s="67"/>
      <c r="AZ22" s="67"/>
      <c r="BA22" s="67"/>
      <c r="BB22" s="67"/>
      <c r="BC22" s="67"/>
      <c r="BD22" s="67"/>
      <c r="BE22" s="67"/>
      <c r="BF22" s="67"/>
      <c r="BG22" s="67"/>
      <c r="BH22" s="67"/>
      <c r="BI22" s="67"/>
      <c r="BJ22" s="67"/>
      <c r="BK22" s="67"/>
      <c r="BL22" s="67"/>
      <c r="BM22" s="67"/>
    </row>
    <row r="23" spans="1:65" s="7" customFormat="1" hidden="1" outlineLevel="1" x14ac:dyDescent="0.4">
      <c r="B23" s="200"/>
      <c r="C23" s="200"/>
      <c r="D23" s="200"/>
      <c r="E23" s="200"/>
      <c r="F23" s="200"/>
      <c r="G23" s="200"/>
      <c r="H23" s="200"/>
      <c r="M23" s="1"/>
      <c r="N23" s="1"/>
      <c r="O23" s="1"/>
      <c r="P23" s="1"/>
      <c r="Q23" s="1"/>
      <c r="R23" s="1"/>
      <c r="S23" s="1"/>
      <c r="T23" s="1"/>
      <c r="U23" s="1"/>
      <c r="AY23" s="67"/>
      <c r="AZ23" s="67"/>
      <c r="BA23" s="67"/>
      <c r="BB23" s="67"/>
      <c r="BC23" s="67"/>
      <c r="BD23" s="67"/>
      <c r="BE23" s="67"/>
      <c r="BF23" s="67"/>
      <c r="BG23" s="67"/>
      <c r="BH23" s="67"/>
      <c r="BI23" s="67"/>
      <c r="BJ23" s="67"/>
      <c r="BK23" s="67"/>
      <c r="BL23" s="67"/>
      <c r="BM23" s="67"/>
    </row>
    <row r="24" spans="1:65" s="7" customFormat="1" ht="14.25" hidden="1" outlineLevel="1" x14ac:dyDescent="0.45">
      <c r="B24" s="178" t="s">
        <v>10</v>
      </c>
      <c r="C24" s="200"/>
      <c r="D24" s="200"/>
      <c r="E24" s="200"/>
      <c r="F24" s="200"/>
      <c r="G24" s="200"/>
      <c r="H24" s="200"/>
      <c r="M24" s="1"/>
      <c r="N24" s="1"/>
      <c r="O24" s="1"/>
      <c r="P24" s="1"/>
      <c r="Q24" s="1"/>
      <c r="R24" s="1"/>
      <c r="S24" s="1"/>
      <c r="T24" s="1"/>
      <c r="U24" s="1"/>
      <c r="AY24" s="67"/>
      <c r="AZ24" s="67"/>
      <c r="BA24" s="67"/>
      <c r="BB24" s="67"/>
      <c r="BC24" s="67"/>
      <c r="BD24" s="67"/>
      <c r="BE24" s="67"/>
      <c r="BF24" s="67"/>
      <c r="BG24" s="67"/>
      <c r="BH24" s="67"/>
      <c r="BI24" s="67"/>
      <c r="BJ24" s="67"/>
      <c r="BK24" s="67"/>
      <c r="BL24" s="67"/>
      <c r="BM24" s="67"/>
    </row>
    <row r="25" spans="1:65" s="7" customFormat="1" ht="14.25" hidden="1" outlineLevel="1" x14ac:dyDescent="0.45">
      <c r="B25" s="178" t="s">
        <v>11</v>
      </c>
      <c r="C25" s="200"/>
      <c r="D25" s="200"/>
      <c r="E25" s="200"/>
      <c r="F25" s="200"/>
      <c r="G25" s="200"/>
      <c r="H25" s="200"/>
      <c r="M25" s="1"/>
      <c r="N25" s="1"/>
      <c r="O25" s="1"/>
      <c r="P25" s="1"/>
      <c r="Q25" s="1"/>
      <c r="R25" s="1"/>
      <c r="S25" s="1"/>
      <c r="T25" s="1"/>
      <c r="U25" s="1"/>
      <c r="AY25" s="67"/>
      <c r="AZ25" s="67"/>
      <c r="BA25" s="67"/>
      <c r="BB25" s="67"/>
      <c r="BC25" s="67"/>
      <c r="BD25" s="67"/>
      <c r="BE25" s="67"/>
      <c r="BF25" s="67"/>
      <c r="BG25" s="67"/>
      <c r="BH25" s="67"/>
      <c r="BI25" s="67"/>
      <c r="BJ25" s="67"/>
      <c r="BK25" s="67"/>
      <c r="BL25" s="67"/>
      <c r="BM25" s="67"/>
    </row>
    <row r="26" spans="1:65" s="7" customFormat="1" hidden="1" outlineLevel="1" x14ac:dyDescent="0.4">
      <c r="M26" s="1"/>
      <c r="N26" s="1"/>
      <c r="O26" s="1"/>
      <c r="P26" s="1"/>
      <c r="Q26" s="1"/>
      <c r="R26" s="1"/>
      <c r="S26" s="1"/>
      <c r="T26" s="1"/>
      <c r="U26" s="1"/>
      <c r="AY26" s="67"/>
      <c r="AZ26" s="67"/>
      <c r="BA26" s="67"/>
      <c r="BB26" s="67"/>
      <c r="BC26" s="67"/>
      <c r="BD26" s="67"/>
      <c r="BE26" s="67"/>
      <c r="BF26" s="67"/>
      <c r="BG26" s="67"/>
      <c r="BH26" s="67"/>
      <c r="BI26" s="67"/>
      <c r="BJ26" s="67"/>
      <c r="BK26" s="67"/>
      <c r="BL26" s="67"/>
      <c r="BM26" s="67"/>
    </row>
    <row r="27" spans="1:65" s="7" customFormat="1" ht="14.25" hidden="1" outlineLevel="1" thickBot="1" x14ac:dyDescent="0.45">
      <c r="B27" s="9" t="s">
        <v>12</v>
      </c>
      <c r="M27" s="1"/>
      <c r="N27" s="1"/>
      <c r="O27" s="1"/>
      <c r="P27" s="1"/>
      <c r="Q27" s="1"/>
      <c r="R27" s="1"/>
      <c r="S27" s="1"/>
      <c r="T27" s="1"/>
      <c r="U27" s="1"/>
      <c r="AY27" s="67"/>
      <c r="AZ27" s="67"/>
      <c r="BA27" s="67"/>
      <c r="BB27" s="67"/>
      <c r="BC27" s="67"/>
      <c r="BD27" s="67"/>
      <c r="BE27" s="67"/>
      <c r="BF27" s="67"/>
      <c r="BG27" s="67"/>
      <c r="BH27" s="67"/>
      <c r="BI27" s="67"/>
      <c r="BJ27" s="67"/>
      <c r="BK27" s="67"/>
      <c r="BL27" s="67"/>
      <c r="BM27" s="67"/>
    </row>
    <row r="28" spans="1:65" s="7" customFormat="1" ht="14.25" hidden="1" outlineLevel="1" thickBot="1" x14ac:dyDescent="0.45">
      <c r="A28" s="70" t="s">
        <v>13</v>
      </c>
      <c r="B28" s="203">
        <f>0.5*roofarea</f>
        <v>113.30681142177278</v>
      </c>
      <c r="C28" s="7" t="s">
        <v>497</v>
      </c>
      <c r="M28" s="1"/>
      <c r="N28" s="1"/>
      <c r="O28" s="1"/>
      <c r="P28" s="1"/>
      <c r="Q28" s="1"/>
      <c r="R28" s="1"/>
      <c r="S28" s="1"/>
      <c r="T28" s="1"/>
      <c r="U28" s="1"/>
      <c r="AY28" s="67"/>
      <c r="AZ28" s="67"/>
      <c r="BA28" s="67"/>
      <c r="BB28" s="67"/>
      <c r="BC28" s="67"/>
      <c r="BD28" s="67"/>
      <c r="BE28" s="67"/>
      <c r="BF28" s="67"/>
      <c r="BG28" s="67"/>
      <c r="BH28" s="67"/>
      <c r="BI28" s="67"/>
      <c r="BJ28" s="67"/>
      <c r="BK28" s="67"/>
      <c r="BL28" s="67"/>
      <c r="BM28" s="67"/>
    </row>
    <row r="29" spans="1:65" s="7" customFormat="1" ht="7.05" hidden="1" customHeight="1" outlineLevel="1" x14ac:dyDescent="0.4">
      <c r="M29" s="1"/>
      <c r="N29" s="1"/>
      <c r="O29" s="1"/>
      <c r="P29" s="1"/>
      <c r="Q29" s="1"/>
      <c r="R29" s="1"/>
      <c r="S29" s="1"/>
      <c r="T29" s="1"/>
      <c r="U29" s="1"/>
      <c r="AY29" s="67"/>
      <c r="AZ29" s="67"/>
      <c r="BA29" s="67"/>
      <c r="BB29" s="67"/>
      <c r="BC29" s="67"/>
      <c r="BD29" s="67"/>
      <c r="BE29" s="67"/>
      <c r="BF29" s="67"/>
      <c r="BG29" s="67"/>
      <c r="BH29" s="67"/>
      <c r="BI29" s="67"/>
      <c r="BJ29" s="67"/>
      <c r="BK29" s="67"/>
      <c r="BL29" s="67"/>
      <c r="BM29" s="67"/>
    </row>
    <row r="30" spans="1:65" s="7" customFormat="1" hidden="1" outlineLevel="1" x14ac:dyDescent="0.4">
      <c r="B30" s="76"/>
      <c r="C30" s="7" t="s">
        <v>14</v>
      </c>
      <c r="M30" s="1"/>
      <c r="N30" s="1"/>
      <c r="O30" s="1"/>
      <c r="P30" s="1"/>
      <c r="Q30" s="1"/>
      <c r="R30" s="1"/>
      <c r="S30" s="1"/>
      <c r="T30" s="1"/>
      <c r="U30" s="1"/>
      <c r="AY30" s="67"/>
      <c r="AZ30" s="67"/>
      <c r="BA30" s="67"/>
      <c r="BB30" s="67"/>
      <c r="BC30" s="67"/>
      <c r="BD30" s="67"/>
      <c r="BE30" s="67"/>
      <c r="BF30" s="67"/>
      <c r="BG30" s="67"/>
      <c r="BH30" s="67"/>
      <c r="BI30" s="67"/>
      <c r="BJ30" s="67"/>
      <c r="BK30" s="67"/>
      <c r="BL30" s="67"/>
      <c r="BM30" s="67"/>
    </row>
    <row r="31" spans="1:65" s="7" customFormat="1" ht="7.05" hidden="1" customHeight="1" outlineLevel="1" x14ac:dyDescent="0.4">
      <c r="B31" s="1"/>
      <c r="M31" s="1"/>
      <c r="N31" s="1"/>
      <c r="O31" s="1"/>
      <c r="P31" s="1"/>
      <c r="Q31" s="1"/>
      <c r="R31" s="1"/>
      <c r="S31" s="1"/>
      <c r="T31" s="1"/>
      <c r="U31" s="1"/>
      <c r="AY31" s="67"/>
      <c r="AZ31" s="67"/>
      <c r="BA31" s="67"/>
      <c r="BB31" s="67"/>
      <c r="BC31" s="67"/>
      <c r="BD31" s="67"/>
      <c r="BE31" s="67"/>
      <c r="BF31" s="67"/>
      <c r="BG31" s="67"/>
      <c r="BH31" s="67"/>
      <c r="BI31" s="67"/>
      <c r="BJ31" s="67"/>
      <c r="BK31" s="67"/>
      <c r="BL31" s="67"/>
      <c r="BM31" s="67"/>
    </row>
    <row r="32" spans="1:65" s="7" customFormat="1" hidden="1" outlineLevel="1" x14ac:dyDescent="0.4">
      <c r="B32" s="79"/>
      <c r="C32" s="7" t="s">
        <v>440</v>
      </c>
      <c r="M32" s="1"/>
      <c r="N32" s="1"/>
      <c r="O32" s="1"/>
      <c r="P32" s="1"/>
      <c r="Q32" s="1"/>
      <c r="R32" s="1"/>
      <c r="S32" s="1"/>
      <c r="T32" s="1"/>
      <c r="U32" s="1"/>
      <c r="AY32" s="67"/>
      <c r="AZ32" s="67"/>
      <c r="BA32" s="67"/>
      <c r="BB32" s="67"/>
      <c r="BC32" s="67"/>
      <c r="BD32" s="67"/>
      <c r="BE32" s="67"/>
      <c r="BF32" s="67"/>
      <c r="BG32" s="67"/>
      <c r="BH32" s="67"/>
      <c r="BI32" s="67"/>
      <c r="BJ32" s="67"/>
      <c r="BK32" s="67"/>
      <c r="BL32" s="67"/>
      <c r="BM32" s="67"/>
    </row>
    <row r="33" spans="2:65" s="7" customFormat="1" ht="7.05" hidden="1" customHeight="1" outlineLevel="1" x14ac:dyDescent="0.4">
      <c r="B33" s="1"/>
      <c r="M33" s="1"/>
      <c r="N33" s="1"/>
      <c r="O33" s="1"/>
      <c r="P33" s="1"/>
      <c r="Q33" s="1"/>
      <c r="R33" s="1"/>
      <c r="S33" s="1"/>
      <c r="T33" s="1"/>
      <c r="U33" s="1"/>
      <c r="AY33" s="67"/>
      <c r="AZ33" s="67"/>
      <c r="BA33" s="67"/>
      <c r="BB33" s="67"/>
      <c r="BC33" s="67"/>
      <c r="BD33" s="67"/>
      <c r="BE33" s="67"/>
      <c r="BF33" s="67"/>
      <c r="BG33" s="67"/>
      <c r="BH33" s="67"/>
      <c r="BI33" s="67"/>
      <c r="BJ33" s="67"/>
      <c r="BK33" s="67"/>
      <c r="BL33" s="67"/>
      <c r="BM33" s="67"/>
    </row>
    <row r="34" spans="2:65" s="7" customFormat="1" hidden="1" outlineLevel="1" x14ac:dyDescent="0.4">
      <c r="B34" s="30"/>
      <c r="C34" s="7" t="s">
        <v>15</v>
      </c>
      <c r="N34" s="1"/>
      <c r="O34" s="1"/>
      <c r="P34" s="1"/>
      <c r="Q34" s="1"/>
      <c r="R34" s="1"/>
      <c r="S34" s="1"/>
      <c r="T34" s="1"/>
      <c r="U34" s="1"/>
      <c r="AY34" s="67"/>
      <c r="AZ34" s="67"/>
      <c r="BA34" s="67"/>
      <c r="BB34" s="67"/>
      <c r="BC34" s="67"/>
      <c r="BD34" s="67"/>
      <c r="BE34" s="67"/>
      <c r="BF34" s="67"/>
      <c r="BG34" s="67"/>
      <c r="BH34" s="67"/>
      <c r="BI34" s="67"/>
      <c r="BJ34" s="67"/>
      <c r="BK34" s="67"/>
      <c r="BL34" s="67"/>
      <c r="BM34" s="67"/>
    </row>
    <row r="35" spans="2:65" s="7" customFormat="1" ht="7.05" hidden="1" customHeight="1" outlineLevel="1" x14ac:dyDescent="0.4">
      <c r="B35" s="1"/>
      <c r="M35" s="1"/>
      <c r="N35" s="1"/>
      <c r="O35" s="1"/>
      <c r="P35" s="1"/>
      <c r="Q35" s="1"/>
      <c r="R35" s="1"/>
      <c r="S35" s="1"/>
      <c r="T35" s="1"/>
      <c r="U35" s="1"/>
      <c r="AY35" s="67"/>
      <c r="AZ35" s="67"/>
      <c r="BA35" s="67"/>
      <c r="BB35" s="67"/>
      <c r="BC35" s="67"/>
      <c r="BD35" s="67"/>
      <c r="BE35" s="67"/>
      <c r="BF35" s="67"/>
      <c r="BG35" s="67"/>
      <c r="BH35" s="67"/>
      <c r="BI35" s="67"/>
      <c r="BJ35" s="67"/>
      <c r="BK35" s="67"/>
      <c r="BL35" s="67"/>
      <c r="BM35" s="67"/>
    </row>
    <row r="36" spans="2:65" s="7" customFormat="1" hidden="1" outlineLevel="1" x14ac:dyDescent="0.4">
      <c r="B36" s="83"/>
      <c r="C36" s="7" t="s">
        <v>16</v>
      </c>
      <c r="M36" s="1"/>
      <c r="N36" s="1"/>
      <c r="O36" s="1"/>
      <c r="P36" s="1"/>
      <c r="Q36" s="1"/>
      <c r="R36" s="1"/>
      <c r="S36" s="1"/>
      <c r="T36" s="1"/>
      <c r="U36" s="1"/>
      <c r="AY36" s="67"/>
      <c r="AZ36" s="67"/>
      <c r="BA36" s="67"/>
      <c r="BB36" s="67"/>
      <c r="BC36" s="67"/>
      <c r="BD36" s="67"/>
      <c r="BE36" s="67"/>
      <c r="BF36" s="67"/>
      <c r="BG36" s="67"/>
      <c r="BH36" s="67"/>
      <c r="BI36" s="67"/>
      <c r="BJ36" s="67"/>
      <c r="BK36" s="67"/>
      <c r="BL36" s="67"/>
      <c r="BM36" s="67"/>
    </row>
    <row r="37" spans="2:65" s="7" customFormat="1" hidden="1" outlineLevel="1" x14ac:dyDescent="0.4">
      <c r="B37" s="1"/>
      <c r="M37" s="1"/>
      <c r="N37" s="1"/>
      <c r="O37" s="1"/>
      <c r="P37" s="1"/>
      <c r="Q37" s="1"/>
      <c r="R37" s="1"/>
      <c r="S37" s="1"/>
      <c r="T37" s="1"/>
      <c r="U37" s="1"/>
      <c r="AY37" s="67"/>
      <c r="AZ37" s="67"/>
      <c r="BA37" s="67"/>
      <c r="BB37" s="67"/>
      <c r="BC37" s="67"/>
      <c r="BD37" s="67"/>
      <c r="BE37" s="67"/>
      <c r="BF37" s="67"/>
      <c r="BG37" s="67"/>
      <c r="BH37" s="67"/>
      <c r="BI37" s="67"/>
      <c r="BJ37" s="67"/>
      <c r="BK37" s="67"/>
      <c r="BL37" s="67"/>
      <c r="BM37" s="67"/>
    </row>
    <row r="38" spans="2:65" s="7" customFormat="1" hidden="1" outlineLevel="1" x14ac:dyDescent="0.4">
      <c r="B38" s="1"/>
      <c r="M38" s="1"/>
      <c r="N38" s="1"/>
      <c r="O38" s="1"/>
      <c r="P38" s="1"/>
      <c r="Q38" s="1"/>
      <c r="R38" s="1"/>
      <c r="S38" s="1"/>
      <c r="T38" s="1"/>
      <c r="U38" s="1"/>
      <c r="AY38" s="67"/>
      <c r="AZ38" s="67"/>
      <c r="BA38" s="67"/>
      <c r="BB38" s="67"/>
      <c r="BC38" s="67"/>
      <c r="BD38" s="67"/>
      <c r="BE38" s="67"/>
      <c r="BF38" s="67"/>
      <c r="BG38" s="67"/>
      <c r="BH38" s="67"/>
      <c r="BI38" s="67"/>
      <c r="BJ38" s="67"/>
      <c r="BK38" s="67"/>
      <c r="BL38" s="67"/>
      <c r="BM38" s="67"/>
    </row>
    <row r="39" spans="2:65" s="7" customFormat="1" hidden="1" outlineLevel="1" x14ac:dyDescent="0.4">
      <c r="B39" s="9" t="s">
        <v>17</v>
      </c>
      <c r="M39" s="1"/>
      <c r="N39" s="1"/>
      <c r="O39" s="1"/>
      <c r="P39" s="1"/>
      <c r="Q39" s="1"/>
      <c r="R39" s="1"/>
      <c r="S39" s="1"/>
      <c r="T39" s="1"/>
      <c r="U39" s="1"/>
      <c r="AY39" s="67"/>
      <c r="AZ39" s="67"/>
      <c r="BA39" s="67"/>
      <c r="BB39" s="67"/>
      <c r="BC39" s="67"/>
      <c r="BD39" s="67"/>
      <c r="BE39" s="67"/>
      <c r="BF39" s="67"/>
      <c r="BG39" s="67"/>
      <c r="BH39" s="67"/>
      <c r="BI39" s="67"/>
      <c r="BJ39" s="67"/>
      <c r="BK39" s="67"/>
      <c r="BL39" s="67"/>
      <c r="BM39" s="67"/>
    </row>
    <row r="40" spans="2:65" s="7" customFormat="1" hidden="1" outlineLevel="1" x14ac:dyDescent="0.4">
      <c r="B40" s="184" t="s">
        <v>18</v>
      </c>
      <c r="M40" s="1"/>
      <c r="N40" s="1"/>
      <c r="O40" s="1"/>
      <c r="P40" s="1"/>
      <c r="Q40" s="1"/>
      <c r="R40" s="1"/>
      <c r="S40" s="1"/>
      <c r="T40" s="1"/>
      <c r="U40" s="1"/>
      <c r="AY40" s="67"/>
      <c r="AZ40" s="67"/>
      <c r="BA40" s="67"/>
      <c r="BB40" s="67"/>
      <c r="BC40" s="67"/>
      <c r="BD40" s="67"/>
      <c r="BE40" s="67"/>
      <c r="BF40" s="67"/>
      <c r="BG40" s="67"/>
      <c r="BH40" s="67"/>
      <c r="BI40" s="67"/>
      <c r="BJ40" s="67"/>
      <c r="BK40" s="67"/>
      <c r="BL40" s="67"/>
      <c r="BM40" s="67"/>
    </row>
    <row r="41" spans="2:65" s="7" customFormat="1" ht="14.25" hidden="1" outlineLevel="1" x14ac:dyDescent="0.45">
      <c r="B41" s="98" t="s">
        <v>19</v>
      </c>
      <c r="M41" s="1"/>
      <c r="N41" s="1"/>
      <c r="O41" s="1"/>
      <c r="P41" s="1"/>
      <c r="Q41" s="1"/>
      <c r="R41" s="1"/>
      <c r="S41" s="1"/>
      <c r="T41" s="1"/>
      <c r="U41" s="1"/>
      <c r="AY41" s="67"/>
      <c r="AZ41" s="67"/>
      <c r="BA41" s="67"/>
      <c r="BB41" s="67"/>
      <c r="BC41" s="67"/>
      <c r="BD41" s="67"/>
      <c r="BE41" s="67"/>
      <c r="BF41" s="67"/>
      <c r="BG41" s="67"/>
      <c r="BH41" s="67"/>
      <c r="BI41" s="67"/>
      <c r="BJ41" s="67"/>
      <c r="BK41" s="67"/>
      <c r="BL41" s="67"/>
      <c r="BM41" s="67"/>
    </row>
    <row r="42" spans="2:65" s="7" customFormat="1" ht="14.25" hidden="1" outlineLevel="1" x14ac:dyDescent="0.45">
      <c r="B42" s="98" t="s">
        <v>20</v>
      </c>
      <c r="M42" s="1"/>
      <c r="N42" s="1"/>
      <c r="O42" s="1"/>
      <c r="P42" s="1"/>
      <c r="Q42" s="1"/>
      <c r="R42" s="1"/>
      <c r="S42" s="1"/>
      <c r="T42" s="1"/>
      <c r="U42" s="1"/>
      <c r="AY42" s="67"/>
      <c r="AZ42" s="67"/>
      <c r="BA42" s="67"/>
      <c r="BB42" s="67"/>
      <c r="BC42" s="67"/>
      <c r="BD42" s="67"/>
      <c r="BE42" s="67"/>
      <c r="BF42" s="67"/>
      <c r="BG42" s="67"/>
      <c r="BH42" s="67"/>
      <c r="BI42" s="67"/>
      <c r="BJ42" s="67"/>
      <c r="BK42" s="67"/>
      <c r="BL42" s="67"/>
      <c r="BM42" s="67"/>
    </row>
    <row r="43" spans="2:65" s="7" customFormat="1" ht="14.25" hidden="1" outlineLevel="1" x14ac:dyDescent="0.45">
      <c r="B43" s="98" t="s">
        <v>21</v>
      </c>
      <c r="M43" s="1"/>
      <c r="N43" s="1"/>
      <c r="O43" s="1"/>
      <c r="P43" s="1"/>
      <c r="Q43" s="1"/>
      <c r="R43" s="1"/>
      <c r="S43" s="1"/>
      <c r="T43" s="1"/>
      <c r="U43" s="1"/>
      <c r="AY43" s="67"/>
      <c r="AZ43" s="67"/>
      <c r="BA43" s="67"/>
      <c r="BB43" s="67"/>
      <c r="BC43" s="67"/>
      <c r="BD43" s="67"/>
      <c r="BE43" s="67"/>
      <c r="BF43" s="67"/>
      <c r="BG43" s="67"/>
      <c r="BH43" s="67"/>
      <c r="BI43" s="67"/>
      <c r="BJ43" s="67"/>
      <c r="BK43" s="67"/>
      <c r="BL43" s="67"/>
      <c r="BM43" s="67"/>
    </row>
    <row r="44" spans="2:65" s="7" customFormat="1" ht="14.25" hidden="1" outlineLevel="1" x14ac:dyDescent="0.45">
      <c r="B44" s="98" t="s">
        <v>22</v>
      </c>
      <c r="M44" s="1"/>
      <c r="N44" s="1"/>
      <c r="O44" s="1"/>
      <c r="P44" s="1"/>
      <c r="Q44" s="1"/>
      <c r="R44" s="1"/>
      <c r="S44" s="1"/>
      <c r="T44" s="1"/>
      <c r="U44" s="1"/>
      <c r="AY44" s="67"/>
      <c r="AZ44" s="67"/>
      <c r="BA44" s="67"/>
      <c r="BB44" s="67"/>
      <c r="BC44" s="67"/>
      <c r="BD44" s="67"/>
      <c r="BE44" s="67"/>
      <c r="BF44" s="67"/>
      <c r="BG44" s="67"/>
      <c r="BH44" s="67"/>
      <c r="BI44" s="67"/>
      <c r="BJ44" s="67"/>
      <c r="BK44" s="67"/>
      <c r="BL44" s="67"/>
      <c r="BM44" s="67"/>
    </row>
    <row r="45" spans="2:65" s="7" customFormat="1" hidden="1" outlineLevel="1" x14ac:dyDescent="0.4">
      <c r="M45" s="1"/>
      <c r="N45" s="1"/>
      <c r="O45" s="1"/>
      <c r="P45" s="1"/>
      <c r="Q45" s="1"/>
      <c r="R45" s="1"/>
      <c r="S45" s="1"/>
      <c r="T45" s="1"/>
      <c r="U45" s="1"/>
      <c r="AY45" s="67"/>
      <c r="AZ45" s="67"/>
      <c r="BA45" s="67"/>
      <c r="BB45" s="67"/>
      <c r="BC45" s="67"/>
      <c r="BD45" s="67"/>
      <c r="BE45" s="67"/>
      <c r="BF45" s="67"/>
      <c r="BG45" s="67"/>
      <c r="BH45" s="67"/>
      <c r="BI45" s="67"/>
      <c r="BJ45" s="67"/>
      <c r="BK45" s="67"/>
      <c r="BL45" s="67"/>
      <c r="BM45" s="67"/>
    </row>
    <row r="46" spans="2:65" s="7" customFormat="1" hidden="1" outlineLevel="1" x14ac:dyDescent="0.4">
      <c r="B46" s="184" t="s">
        <v>23</v>
      </c>
      <c r="N46" s="1"/>
      <c r="O46" s="1"/>
      <c r="P46" s="1"/>
      <c r="Q46" s="1"/>
      <c r="R46" s="1"/>
      <c r="S46" s="1"/>
      <c r="T46" s="1"/>
      <c r="U46" s="1"/>
      <c r="AY46" s="67"/>
      <c r="AZ46" s="67"/>
      <c r="BA46" s="67"/>
      <c r="BB46" s="67"/>
      <c r="BC46" s="67"/>
      <c r="BD46" s="67"/>
      <c r="BE46" s="67"/>
      <c r="BF46" s="67"/>
      <c r="BG46" s="67"/>
      <c r="BH46" s="67"/>
      <c r="BI46" s="67"/>
      <c r="BJ46" s="67"/>
      <c r="BK46" s="67"/>
      <c r="BL46" s="67"/>
      <c r="BM46" s="67"/>
    </row>
    <row r="47" spans="2:65" s="7" customFormat="1" ht="14.25" hidden="1" outlineLevel="1" x14ac:dyDescent="0.45">
      <c r="B47" s="304" t="s">
        <v>498</v>
      </c>
      <c r="C47" s="304"/>
      <c r="F47" s="228"/>
      <c r="N47" s="1"/>
      <c r="O47" s="1"/>
      <c r="P47" s="1"/>
      <c r="Q47" s="1"/>
      <c r="R47" s="1"/>
      <c r="S47" s="1"/>
      <c r="T47" s="1"/>
      <c r="U47" s="1"/>
      <c r="AY47" s="67"/>
      <c r="AZ47" s="67"/>
      <c r="BA47" s="67"/>
      <c r="BB47" s="67"/>
      <c r="BC47" s="67"/>
      <c r="BD47" s="67"/>
      <c r="BE47" s="67"/>
      <c r="BF47" s="67"/>
      <c r="BG47" s="67"/>
      <c r="BH47" s="67"/>
      <c r="BI47" s="67"/>
      <c r="BJ47" s="67"/>
      <c r="BK47" s="67"/>
      <c r="BL47" s="67"/>
      <c r="BM47" s="67"/>
    </row>
    <row r="48" spans="2:65" s="7" customFormat="1" hidden="1" outlineLevel="1" x14ac:dyDescent="0.4">
      <c r="N48" s="1"/>
      <c r="O48" s="1"/>
      <c r="P48" s="1"/>
      <c r="Q48" s="1"/>
      <c r="R48" s="1"/>
      <c r="S48" s="1"/>
      <c r="T48" s="1"/>
      <c r="U48" s="1"/>
      <c r="AY48" s="67"/>
      <c r="AZ48" s="67"/>
      <c r="BA48" s="67"/>
      <c r="BB48" s="67"/>
      <c r="BC48" s="67"/>
      <c r="BD48" s="67"/>
      <c r="BE48" s="67"/>
      <c r="BF48" s="67"/>
      <c r="BG48" s="67"/>
      <c r="BH48" s="67"/>
      <c r="BI48" s="67"/>
      <c r="BJ48" s="67"/>
      <c r="BK48" s="67"/>
      <c r="BL48" s="67"/>
      <c r="BM48" s="67"/>
    </row>
    <row r="49" spans="1:185" hidden="1" outlineLevel="1" x14ac:dyDescent="0.4">
      <c r="B49" s="226" t="s">
        <v>418</v>
      </c>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82"/>
      <c r="AZ49" s="82"/>
      <c r="BA49" s="82"/>
      <c r="BB49" s="82"/>
      <c r="BC49" s="82"/>
      <c r="BD49" s="82"/>
      <c r="BE49" s="82"/>
      <c r="BF49" s="82"/>
      <c r="BG49" s="82"/>
      <c r="BH49" s="82"/>
      <c r="BI49" s="82"/>
      <c r="BJ49" s="82"/>
      <c r="BK49" s="82"/>
      <c r="BL49" s="82"/>
      <c r="BM49" s="82"/>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1"/>
      <c r="EU49" s="1"/>
      <c r="EV49" s="1"/>
      <c r="EW49" s="1"/>
      <c r="EX49" s="1"/>
      <c r="EY49" s="1"/>
      <c r="EZ49" s="1"/>
      <c r="FA49" s="1"/>
      <c r="FB49" s="1"/>
      <c r="FC49" s="1"/>
      <c r="FD49" s="1"/>
      <c r="FE49" s="1"/>
      <c r="FF49" s="1"/>
      <c r="FG49" s="1"/>
      <c r="FH49" s="1"/>
      <c r="FI49" s="1"/>
      <c r="FJ49" s="1"/>
      <c r="FK49" s="1"/>
      <c r="FL49" s="1"/>
      <c r="FM49" s="1"/>
      <c r="FN49" s="1"/>
      <c r="FO49" s="1"/>
      <c r="FP49" s="1"/>
      <c r="FQ49" s="1"/>
      <c r="FR49" s="1"/>
      <c r="FS49" s="1"/>
      <c r="FT49" s="1"/>
      <c r="FU49" s="1"/>
      <c r="FV49" s="1"/>
      <c r="FW49" s="1"/>
      <c r="FX49" s="1"/>
      <c r="FY49" s="1"/>
      <c r="FZ49" s="1"/>
      <c r="GA49" s="1"/>
      <c r="GB49" s="1"/>
      <c r="GC49" s="1"/>
    </row>
    <row r="50" spans="1:185" ht="30" hidden="1" customHeight="1" outlineLevel="1" x14ac:dyDescent="0.4">
      <c r="B50" s="302" t="s">
        <v>24</v>
      </c>
      <c r="C50" s="302"/>
      <c r="D50" s="302"/>
      <c r="E50" s="227"/>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82"/>
      <c r="AZ50" s="82"/>
      <c r="BA50" s="82"/>
      <c r="BB50" s="82"/>
      <c r="BC50" s="82"/>
      <c r="BD50" s="82"/>
      <c r="BE50" s="82"/>
      <c r="BF50" s="82"/>
      <c r="BG50" s="82"/>
      <c r="BH50" s="82"/>
      <c r="BI50" s="82"/>
      <c r="BJ50" s="82"/>
      <c r="BK50" s="82"/>
      <c r="BL50" s="82"/>
      <c r="BM50" s="82"/>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1"/>
      <c r="EU50" s="1"/>
      <c r="EV50" s="1"/>
      <c r="EW50" s="1"/>
      <c r="EX50" s="1"/>
      <c r="EY50" s="1"/>
      <c r="EZ50" s="1"/>
      <c r="FA50" s="1"/>
      <c r="FB50" s="1"/>
      <c r="FC50" s="1"/>
      <c r="FD50" s="1"/>
      <c r="FE50" s="1"/>
      <c r="FF50" s="1"/>
      <c r="FG50" s="1"/>
      <c r="FH50" s="1"/>
      <c r="FI50" s="1"/>
      <c r="FJ50" s="1"/>
      <c r="FK50" s="1"/>
      <c r="FL50" s="1"/>
      <c r="FM50" s="1"/>
      <c r="FN50" s="1"/>
      <c r="FO50" s="1"/>
      <c r="FP50" s="1"/>
      <c r="FQ50" s="1"/>
      <c r="FR50" s="1"/>
      <c r="FS50" s="1"/>
      <c r="FT50" s="1"/>
      <c r="FU50" s="1"/>
      <c r="FV50" s="1"/>
      <c r="FW50" s="1"/>
      <c r="FX50" s="1"/>
      <c r="FY50" s="1"/>
      <c r="FZ50" s="1"/>
      <c r="GA50" s="1"/>
      <c r="GB50" s="1"/>
      <c r="GC50" s="1"/>
    </row>
    <row r="51" spans="1:185" ht="30" hidden="1" customHeight="1" outlineLevel="1" x14ac:dyDescent="0.4">
      <c r="B51" s="302" t="s">
        <v>25</v>
      </c>
      <c r="C51" s="302"/>
      <c r="D51" s="302"/>
      <c r="E51" s="227"/>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82"/>
      <c r="AZ51" s="82"/>
      <c r="BA51" s="82"/>
      <c r="BB51" s="82"/>
      <c r="BC51" s="82"/>
      <c r="BD51" s="82"/>
      <c r="BE51" s="82"/>
      <c r="BF51" s="82"/>
      <c r="BG51" s="82"/>
      <c r="BH51" s="82"/>
      <c r="BI51" s="82"/>
      <c r="BJ51" s="82"/>
      <c r="BK51" s="82"/>
      <c r="BL51" s="82"/>
      <c r="BM51" s="82"/>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1"/>
      <c r="EU51" s="1"/>
      <c r="EV51" s="1"/>
      <c r="EW51" s="1"/>
      <c r="EX51" s="1"/>
      <c r="EY51" s="1"/>
      <c r="EZ51" s="1"/>
      <c r="FA51" s="1"/>
      <c r="FB51" s="1"/>
      <c r="FC51" s="1"/>
      <c r="FD51" s="1"/>
      <c r="FE51" s="1"/>
      <c r="FF51" s="1"/>
      <c r="FG51" s="1"/>
      <c r="FH51" s="1"/>
      <c r="FI51" s="1"/>
      <c r="FJ51" s="1"/>
      <c r="FK51" s="1"/>
      <c r="FL51" s="1"/>
      <c r="FM51" s="1"/>
      <c r="FN51" s="1"/>
      <c r="FO51" s="1"/>
      <c r="FP51" s="1"/>
      <c r="FQ51" s="1"/>
      <c r="FR51" s="1"/>
      <c r="FS51" s="1"/>
      <c r="FT51" s="1"/>
      <c r="FU51" s="1"/>
      <c r="FV51" s="1"/>
      <c r="FW51" s="1"/>
      <c r="FX51" s="1"/>
      <c r="FY51" s="1"/>
      <c r="FZ51" s="1"/>
      <c r="GA51" s="1"/>
      <c r="GB51" s="1"/>
      <c r="GC51" s="1"/>
    </row>
    <row r="52" spans="1:185" ht="14" hidden="1" customHeight="1" outlineLevel="1" x14ac:dyDescent="0.4">
      <c r="B52" s="302" t="s">
        <v>439</v>
      </c>
      <c r="C52" s="302"/>
      <c r="D52" s="302"/>
      <c r="E52" s="227"/>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82"/>
      <c r="AZ52" s="82"/>
      <c r="BA52" s="82"/>
      <c r="BB52" s="82"/>
      <c r="BC52" s="82"/>
      <c r="BD52" s="82"/>
      <c r="BE52" s="82"/>
      <c r="BF52" s="82"/>
      <c r="BG52" s="82"/>
      <c r="BH52" s="82"/>
      <c r="BI52" s="82"/>
      <c r="BJ52" s="82"/>
      <c r="BK52" s="82"/>
      <c r="BL52" s="82"/>
      <c r="BM52" s="82"/>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1"/>
      <c r="EU52" s="1"/>
      <c r="EV52" s="1"/>
      <c r="EW52" s="1"/>
      <c r="EX52" s="1"/>
      <c r="EY52" s="1"/>
      <c r="EZ52" s="1"/>
      <c r="FA52" s="1"/>
      <c r="FB52" s="1"/>
      <c r="FC52" s="1"/>
      <c r="FD52" s="1"/>
      <c r="FE52" s="1"/>
      <c r="FF52" s="1"/>
      <c r="FG52" s="1"/>
      <c r="FH52" s="1"/>
      <c r="FI52" s="1"/>
      <c r="FJ52" s="1"/>
      <c r="FK52" s="1"/>
      <c r="FL52" s="1"/>
      <c r="FM52" s="1"/>
      <c r="FN52" s="1"/>
      <c r="FO52" s="1"/>
      <c r="FP52" s="1"/>
      <c r="FQ52" s="1"/>
      <c r="FR52" s="1"/>
      <c r="FS52" s="1"/>
      <c r="FT52" s="1"/>
      <c r="FU52" s="1"/>
      <c r="FV52" s="1"/>
      <c r="FW52" s="1"/>
      <c r="FX52" s="1"/>
      <c r="FY52" s="1"/>
      <c r="FZ52" s="1"/>
      <c r="GA52" s="1"/>
      <c r="GB52" s="1"/>
      <c r="GC52" s="1"/>
    </row>
    <row r="53" spans="1:185" ht="14" hidden="1" customHeight="1" outlineLevel="1" x14ac:dyDescent="0.4">
      <c r="B53" s="302" t="s">
        <v>26</v>
      </c>
      <c r="C53" s="302"/>
      <c r="D53" s="302"/>
      <c r="E53" s="227"/>
      <c r="V53" s="1"/>
      <c r="W53" s="1"/>
      <c r="X53" s="1"/>
      <c r="Y53" s="1"/>
      <c r="Z53" s="1"/>
      <c r="AA53" s="1"/>
      <c r="AB53" s="1"/>
      <c r="AC53" s="1"/>
      <c r="AD53" s="1"/>
      <c r="AE53" s="1"/>
      <c r="AF53" s="1"/>
      <c r="AG53" s="1"/>
      <c r="AH53" s="1"/>
      <c r="AI53" s="1"/>
      <c r="AJ53" s="1"/>
      <c r="AK53" s="1"/>
      <c r="AL53" s="1"/>
      <c r="AM53" s="1"/>
      <c r="AN53" s="8"/>
      <c r="AO53" s="1"/>
      <c r="AP53" s="1"/>
      <c r="AQ53" s="1"/>
      <c r="AR53" s="1"/>
      <c r="AS53" s="1"/>
      <c r="AT53" s="1"/>
      <c r="AU53" s="1"/>
      <c r="AV53" s="1"/>
      <c r="AW53" s="1"/>
      <c r="AX53" s="1"/>
      <c r="AY53" s="82"/>
      <c r="AZ53" s="82"/>
      <c r="BA53" s="82"/>
      <c r="BB53" s="82"/>
      <c r="BC53" s="82"/>
      <c r="BD53" s="82"/>
      <c r="BE53" s="82"/>
      <c r="BF53" s="82"/>
      <c r="BG53" s="82"/>
      <c r="BH53" s="82"/>
      <c r="BI53" s="82"/>
      <c r="BJ53" s="82"/>
      <c r="BK53" s="82"/>
      <c r="BL53" s="82"/>
      <c r="BM53" s="82"/>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row>
    <row r="54" spans="1:185" ht="14" hidden="1" customHeight="1" outlineLevel="1" x14ac:dyDescent="0.4">
      <c r="B54" s="302" t="s">
        <v>27</v>
      </c>
      <c r="C54" s="302"/>
      <c r="D54" s="302"/>
      <c r="E54" s="227"/>
      <c r="V54" s="1"/>
      <c r="W54" s="1"/>
      <c r="X54" s="1"/>
      <c r="Y54" s="1"/>
      <c r="Z54" s="1"/>
      <c r="AA54" s="1"/>
      <c r="AB54" s="1"/>
      <c r="AC54" s="1"/>
      <c r="AD54" s="1"/>
      <c r="AE54" s="1"/>
      <c r="AF54" s="1"/>
      <c r="AG54" s="1"/>
      <c r="AH54" s="1"/>
      <c r="AI54" s="1"/>
      <c r="AJ54" s="1"/>
      <c r="AK54" s="1"/>
      <c r="AL54" s="1"/>
      <c r="AM54" s="1"/>
      <c r="AN54" s="8"/>
      <c r="AO54" s="1"/>
      <c r="AP54" s="1"/>
      <c r="AQ54" s="1"/>
      <c r="AR54" s="1"/>
      <c r="AS54" s="1"/>
      <c r="AT54" s="1"/>
      <c r="AU54" s="1"/>
      <c r="AV54" s="1"/>
      <c r="AW54" s="1"/>
      <c r="AX54" s="1"/>
      <c r="AY54" s="82"/>
      <c r="AZ54" s="82"/>
      <c r="BA54" s="82"/>
      <c r="BB54" s="82"/>
      <c r="BC54" s="82"/>
      <c r="BD54" s="82"/>
      <c r="BE54" s="82"/>
      <c r="BF54" s="82"/>
      <c r="BG54" s="82"/>
      <c r="BH54" s="82"/>
      <c r="BI54" s="82"/>
      <c r="BJ54" s="82"/>
      <c r="BK54" s="82"/>
      <c r="BL54" s="82"/>
      <c r="BM54" s="82"/>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1"/>
      <c r="EU54" s="1"/>
      <c r="EV54" s="1"/>
      <c r="EW54" s="1"/>
      <c r="EX54" s="1"/>
      <c r="EY54" s="1"/>
      <c r="EZ54" s="1"/>
      <c r="FA54" s="1"/>
      <c r="FB54" s="1"/>
      <c r="FC54" s="1"/>
      <c r="FD54" s="1"/>
      <c r="FE54" s="1"/>
      <c r="FF54" s="1"/>
      <c r="FG54" s="1"/>
      <c r="FH54" s="1"/>
      <c r="FI54" s="1"/>
      <c r="FJ54" s="1"/>
      <c r="FK54" s="1"/>
      <c r="FL54" s="1"/>
      <c r="FM54" s="1"/>
      <c r="FN54" s="1"/>
      <c r="FO54" s="1"/>
      <c r="FP54" s="1"/>
      <c r="FQ54" s="1"/>
      <c r="FR54" s="1"/>
      <c r="FS54" s="1"/>
      <c r="FT54" s="1"/>
      <c r="FU54" s="1"/>
      <c r="FV54" s="1"/>
      <c r="FW54" s="1"/>
      <c r="FX54" s="1"/>
      <c r="FY54" s="1"/>
      <c r="FZ54" s="1"/>
      <c r="GA54" s="1"/>
      <c r="GB54" s="1"/>
      <c r="GC54" s="1"/>
    </row>
    <row r="55" spans="1:185" s="4" customFormat="1" ht="14.25" collapsed="1" thickBot="1" x14ac:dyDescent="0.45">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c r="AQ55" s="7"/>
      <c r="AR55" s="7"/>
      <c r="AS55" s="7"/>
      <c r="AT55" s="7"/>
      <c r="AU55" s="7"/>
      <c r="AV55" s="7"/>
      <c r="AW55" s="7"/>
      <c r="AY55" s="121"/>
      <c r="AZ55" s="121"/>
      <c r="BA55" s="121"/>
      <c r="BB55" s="121"/>
      <c r="BC55" s="121"/>
      <c r="BD55" s="121"/>
      <c r="BE55" s="121"/>
      <c r="BF55" s="121"/>
      <c r="BG55" s="121"/>
      <c r="BH55" s="121"/>
      <c r="BI55" s="121"/>
      <c r="BJ55" s="121"/>
      <c r="BK55" s="121"/>
      <c r="BL55" s="121"/>
      <c r="BM55" s="121"/>
      <c r="BN55" s="7"/>
      <c r="BO55" s="7"/>
      <c r="BP55" s="7"/>
      <c r="BQ55" s="7"/>
      <c r="BR55" s="7"/>
      <c r="BS55" s="7"/>
      <c r="BT55" s="7"/>
      <c r="BU55" s="7"/>
      <c r="BV55" s="7"/>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S55" s="7"/>
      <c r="DT55" s="7"/>
      <c r="DU55" s="7"/>
      <c r="DV55" s="7"/>
      <c r="DW55" s="7"/>
      <c r="DX55" s="7"/>
      <c r="DY55" s="7"/>
      <c r="DZ55" s="7"/>
      <c r="EA55" s="7"/>
      <c r="EB55" s="7"/>
      <c r="EC55" s="7"/>
      <c r="ED55" s="7"/>
      <c r="EE55" s="7"/>
      <c r="EF55" s="7"/>
      <c r="EG55" s="7"/>
      <c r="EH55" s="7"/>
      <c r="EI55" s="7"/>
      <c r="EJ55" s="7"/>
      <c r="EK55" s="7"/>
      <c r="EL55" s="7"/>
      <c r="EM55" s="7"/>
      <c r="EN55" s="7"/>
      <c r="EO55" s="7"/>
      <c r="EP55" s="7"/>
      <c r="EQ55" s="7"/>
      <c r="ER55" s="7"/>
      <c r="ES55" s="7"/>
      <c r="ET55" s="7"/>
      <c r="EU55" s="7"/>
      <c r="EV55" s="7"/>
      <c r="EW55" s="7"/>
      <c r="EX55" s="7"/>
      <c r="EY55" s="7"/>
      <c r="EZ55" s="7"/>
      <c r="FA55" s="7"/>
      <c r="FB55" s="7"/>
      <c r="FC55" s="7"/>
      <c r="FD55" s="7"/>
      <c r="FE55" s="7"/>
      <c r="FF55" s="7"/>
      <c r="FG55" s="7"/>
      <c r="FH55" s="7"/>
      <c r="FI55" s="7"/>
      <c r="FJ55" s="7"/>
      <c r="FK55" s="7"/>
      <c r="FL55" s="7"/>
      <c r="FM55" s="7"/>
      <c r="FN55" s="7"/>
      <c r="FO55" s="7"/>
      <c r="FP55" s="7"/>
      <c r="FQ55" s="7"/>
      <c r="FR55" s="7"/>
      <c r="FS55" s="7"/>
      <c r="FT55" s="7"/>
      <c r="FU55" s="7"/>
      <c r="FV55" s="7"/>
      <c r="FW55" s="7"/>
      <c r="FX55" s="7"/>
      <c r="FY55" s="7"/>
      <c r="FZ55" s="7"/>
      <c r="GA55" s="7"/>
      <c r="GB55" s="7"/>
      <c r="GC55" s="7"/>
    </row>
    <row r="56" spans="1:185" s="7" customFormat="1" ht="28.15" thickBot="1" x14ac:dyDescent="0.8">
      <c r="A56" s="75" t="s">
        <v>28</v>
      </c>
      <c r="B56" s="88" t="s">
        <v>29</v>
      </c>
      <c r="AJ56" s="88" t="s">
        <v>31</v>
      </c>
      <c r="AX56" s="103" t="s">
        <v>32</v>
      </c>
      <c r="AY56" s="122"/>
      <c r="AZ56" s="122"/>
      <c r="BA56" s="122"/>
      <c r="BB56" s="122"/>
      <c r="BC56" s="122"/>
      <c r="BD56" s="122"/>
      <c r="BE56" s="122"/>
      <c r="BF56" s="122"/>
      <c r="BG56" s="122"/>
      <c r="BH56" s="122"/>
      <c r="BI56" s="122"/>
      <c r="BJ56" s="122"/>
      <c r="BK56" s="122"/>
      <c r="BL56" s="122"/>
      <c r="BM56" s="122"/>
    </row>
    <row r="57" spans="1:185" s="7" customFormat="1" ht="15.4" customHeight="1" thickBot="1" x14ac:dyDescent="0.45">
      <c r="A57" s="70" t="s">
        <v>13</v>
      </c>
      <c r="B57" s="1" t="s">
        <v>33</v>
      </c>
      <c r="C57" s="209"/>
      <c r="D57" s="1"/>
      <c r="AX57" s="39" t="s">
        <v>34</v>
      </c>
      <c r="AY57" s="122"/>
      <c r="AZ57" s="122"/>
      <c r="BA57" s="122"/>
      <c r="BB57" s="122"/>
      <c r="BC57" s="122"/>
      <c r="BD57" s="122"/>
      <c r="BE57" s="122"/>
      <c r="BF57" s="122"/>
      <c r="BG57" s="122"/>
      <c r="BH57" s="122"/>
      <c r="BI57" s="122"/>
      <c r="BJ57" s="122"/>
      <c r="BK57" s="122"/>
      <c r="BL57" s="122"/>
      <c r="BM57" s="122"/>
    </row>
    <row r="58" spans="1:185" ht="15.4" customHeight="1" thickBot="1" x14ac:dyDescent="0.45">
      <c r="A58" s="70" t="s">
        <v>13</v>
      </c>
      <c r="B58" s="1" t="s">
        <v>35</v>
      </c>
      <c r="C58" s="275"/>
      <c r="E58" s="7"/>
      <c r="F58" s="7"/>
      <c r="G58" s="7"/>
      <c r="H58" s="7"/>
      <c r="I58" s="7"/>
      <c r="J58" s="7"/>
      <c r="K58" s="7"/>
      <c r="L58" s="7"/>
      <c r="M58" s="7"/>
      <c r="N58" s="7"/>
      <c r="O58" s="7"/>
      <c r="P58" s="7"/>
      <c r="Q58" s="7"/>
      <c r="R58" s="7"/>
      <c r="S58" s="7"/>
      <c r="T58" s="7"/>
      <c r="U58" s="7"/>
      <c r="AJ58" s="119" t="s">
        <v>442</v>
      </c>
      <c r="AK58" s="111"/>
      <c r="AL58" s="246">
        <f>MAX(occupants*30,160,tfa*2.5*0.3*1.3)*0.77/(tfa*2.5)</f>
        <v>0.30030000000000001</v>
      </c>
      <c r="AM58" s="1" t="s">
        <v>441</v>
      </c>
      <c r="AN58" s="119" t="s">
        <v>443</v>
      </c>
      <c r="AO58" s="111"/>
      <c r="AP58" s="246">
        <f>MAX(occupants*30,160,tfa*2.5*0.3*1.3)*0.77/(tfa*2.5)</f>
        <v>0.30030000000000001</v>
      </c>
      <c r="AQ58" s="1" t="s">
        <v>441</v>
      </c>
      <c r="AX58" s="41" t="s">
        <v>36</v>
      </c>
      <c r="AY58" s="122">
        <v>20</v>
      </c>
      <c r="AZ58" s="122" t="s">
        <v>37</v>
      </c>
      <c r="BA58" s="123" t="s">
        <v>38</v>
      </c>
      <c r="BB58" s="122">
        <f>AY58-AY61</f>
        <v>60</v>
      </c>
      <c r="BC58" s="122" t="s">
        <v>37</v>
      </c>
      <c r="BD58" s="122"/>
      <c r="BE58" s="123" t="s">
        <v>39</v>
      </c>
      <c r="BF58" s="124">
        <f>1/0.87</f>
        <v>1.1494252873563218</v>
      </c>
      <c r="BG58" s="123" t="s">
        <v>40</v>
      </c>
      <c r="BH58" s="122"/>
      <c r="BI58" s="122"/>
      <c r="BJ58" s="122"/>
      <c r="BK58" s="122"/>
      <c r="BL58" s="122"/>
      <c r="BM58" s="122"/>
    </row>
    <row r="59" spans="1:185" ht="15.4" customHeight="1" x14ac:dyDescent="0.4">
      <c r="E59" s="7"/>
      <c r="F59" s="7"/>
      <c r="G59" s="7"/>
      <c r="H59" s="7"/>
      <c r="I59" s="7"/>
      <c r="J59" s="7"/>
      <c r="K59" s="7"/>
      <c r="L59" s="7"/>
      <c r="M59" s="7"/>
      <c r="N59" s="7"/>
      <c r="O59" s="7"/>
      <c r="P59" s="7"/>
      <c r="Q59" s="7"/>
      <c r="R59" s="7"/>
      <c r="S59" s="7"/>
      <c r="T59" s="7"/>
      <c r="U59" s="7"/>
      <c r="AJ59" s="119" t="s">
        <v>41</v>
      </c>
      <c r="AK59" s="120" t="s">
        <v>42</v>
      </c>
      <c r="AL59" s="120" t="s">
        <v>43</v>
      </c>
      <c r="AN59" s="119" t="s">
        <v>41</v>
      </c>
      <c r="AO59" s="120" t="s">
        <v>42</v>
      </c>
      <c r="AP59" s="120" t="s">
        <v>43</v>
      </c>
      <c r="AX59" s="41" t="s">
        <v>44</v>
      </c>
      <c r="AY59" s="122">
        <v>25</v>
      </c>
      <c r="AZ59" s="123" t="s">
        <v>37</v>
      </c>
      <c r="BA59" s="123" t="s">
        <v>45</v>
      </c>
      <c r="BB59" s="122">
        <f>AY62-AY59</f>
        <v>5</v>
      </c>
      <c r="BC59" s="122" t="s">
        <v>37</v>
      </c>
      <c r="BD59" s="122"/>
      <c r="BE59" s="123" t="s">
        <v>46</v>
      </c>
      <c r="BF59" s="125">
        <f>D127</f>
        <v>0.6</v>
      </c>
      <c r="BG59" s="122"/>
      <c r="BH59" s="123"/>
      <c r="BI59" s="122" t="s">
        <v>47</v>
      </c>
      <c r="BJ59" s="122"/>
      <c r="BK59" s="122"/>
      <c r="BL59" s="122"/>
      <c r="BM59" s="122"/>
    </row>
    <row r="60" spans="1:185" ht="15.4" thickBot="1" x14ac:dyDescent="0.45">
      <c r="A60" s="7"/>
      <c r="B60" s="89" t="s">
        <v>386</v>
      </c>
      <c r="E60" s="7"/>
      <c r="F60" s="7"/>
      <c r="G60" s="7"/>
      <c r="H60" s="7"/>
      <c r="I60" s="7"/>
      <c r="J60" s="7"/>
      <c r="K60" s="7"/>
      <c r="L60" s="184"/>
      <c r="M60" s="7"/>
      <c r="N60" s="7"/>
      <c r="O60" s="7"/>
      <c r="P60" s="7"/>
      <c r="Q60" s="7"/>
      <c r="R60" s="7"/>
      <c r="S60" s="7"/>
      <c r="T60" s="7"/>
      <c r="U60" s="7"/>
      <c r="AJ60" s="106" t="s">
        <v>426</v>
      </c>
      <c r="AK60" s="247">
        <v>5.2207478427612655E-2</v>
      </c>
      <c r="AL60" s="247">
        <v>0.13051869606903163</v>
      </c>
      <c r="AN60" s="106" t="s">
        <v>426</v>
      </c>
      <c r="AO60" s="247">
        <v>5.2207478427612655E-2</v>
      </c>
      <c r="AP60" s="247">
        <v>0.13051869606903163</v>
      </c>
      <c r="AX60" s="41" t="s">
        <v>48</v>
      </c>
      <c r="AY60" s="122">
        <v>5</v>
      </c>
      <c r="AZ60" s="122" t="s">
        <v>37</v>
      </c>
      <c r="BA60" s="123" t="s">
        <v>49</v>
      </c>
      <c r="BB60" s="123">
        <v>50</v>
      </c>
      <c r="BC60" s="123" t="s">
        <v>50</v>
      </c>
      <c r="BD60" s="122"/>
      <c r="BE60" s="123" t="s">
        <v>51</v>
      </c>
      <c r="BF60" s="126">
        <f>LOOKUP($C$90,$AJ$60:$AJ$68,$AK$60:$AK$68)</f>
        <v>0.218</v>
      </c>
      <c r="BG60" s="124" t="s">
        <v>52</v>
      </c>
      <c r="BH60" s="123"/>
      <c r="BI60" s="127">
        <f>volume*BF60</f>
        <v>301.23030353593248</v>
      </c>
      <c r="BJ60" s="122" t="s">
        <v>53</v>
      </c>
      <c r="BK60" s="122"/>
      <c r="BL60" s="123"/>
      <c r="BM60" s="122"/>
    </row>
    <row r="61" spans="1:185" x14ac:dyDescent="0.4">
      <c r="A61" s="70" t="s">
        <v>13</v>
      </c>
      <c r="B61" s="1" t="s">
        <v>54</v>
      </c>
      <c r="C61" s="204">
        <f>46/3.28</f>
        <v>14.02439024390244</v>
      </c>
      <c r="D61" s="1" t="s">
        <v>55</v>
      </c>
      <c r="AJ61" s="106" t="s">
        <v>427</v>
      </c>
      <c r="AK61" s="248">
        <v>6.9609971236816878E-2</v>
      </c>
      <c r="AL61" s="248">
        <v>0.1740249280920422</v>
      </c>
      <c r="AN61" s="106" t="s">
        <v>427</v>
      </c>
      <c r="AO61" s="248">
        <v>6.9609971236816878E-2</v>
      </c>
      <c r="AP61" s="248">
        <v>0.1740249280920422</v>
      </c>
      <c r="AX61" s="41" t="s">
        <v>56</v>
      </c>
      <c r="AY61" s="122">
        <v>-40</v>
      </c>
      <c r="AZ61" s="122" t="s">
        <v>37</v>
      </c>
      <c r="BA61" s="123" t="s">
        <v>57</v>
      </c>
      <c r="BB61" s="123">
        <v>61</v>
      </c>
      <c r="BC61" s="123" t="s">
        <v>50</v>
      </c>
      <c r="BD61" s="122"/>
      <c r="BE61" s="123" t="s">
        <v>58</v>
      </c>
      <c r="BF61" s="126">
        <f>LOOKUP($C$90,$AJ$60:$AJ$68,$AL$60:$AL$68)</f>
        <v>0.54400000000000004</v>
      </c>
      <c r="BG61" s="124" t="s">
        <v>52</v>
      </c>
      <c r="BH61" s="128"/>
      <c r="BI61" s="127">
        <f>volume*BF61</f>
        <v>751.69396845663891</v>
      </c>
      <c r="BJ61" s="122" t="s">
        <v>53</v>
      </c>
      <c r="BK61" s="122"/>
      <c r="BL61" s="123"/>
      <c r="BM61" s="122"/>
    </row>
    <row r="62" spans="1:185" x14ac:dyDescent="0.4">
      <c r="A62" s="70" t="s">
        <v>13</v>
      </c>
      <c r="B62" s="1" t="s">
        <v>59</v>
      </c>
      <c r="C62" s="205">
        <f>53/3.28</f>
        <v>16.158536585365855</v>
      </c>
      <c r="D62" s="1" t="s">
        <v>55</v>
      </c>
      <c r="Q62" s="6"/>
      <c r="R62" s="6"/>
      <c r="S62" s="6"/>
      <c r="T62" s="6"/>
      <c r="U62" s="6"/>
      <c r="AJ62" s="106" t="s">
        <v>428</v>
      </c>
      <c r="AK62" s="247">
        <v>8.7012464046021101E-2</v>
      </c>
      <c r="AL62" s="248">
        <v>0.21753116011505275</v>
      </c>
      <c r="AN62" s="106" t="s">
        <v>428</v>
      </c>
      <c r="AO62" s="247">
        <v>8.7012464046021101E-2</v>
      </c>
      <c r="AP62" s="248">
        <v>0.21753116011505275</v>
      </c>
      <c r="AX62" s="41" t="s">
        <v>60</v>
      </c>
      <c r="AY62" s="123">
        <v>30</v>
      </c>
      <c r="AZ62" s="122" t="s">
        <v>37</v>
      </c>
      <c r="BA62" s="123" t="s">
        <v>61</v>
      </c>
      <c r="BB62" s="123">
        <f>BB61-BB60</f>
        <v>11</v>
      </c>
      <c r="BC62" s="123" t="s">
        <v>50</v>
      </c>
      <c r="BD62" s="122"/>
      <c r="BE62" s="123" t="s">
        <v>62</v>
      </c>
      <c r="BF62" s="235">
        <f>AL58</f>
        <v>0.30030000000000001</v>
      </c>
      <c r="BG62" s="124" t="s">
        <v>52</v>
      </c>
      <c r="BH62" s="123"/>
      <c r="BI62" s="129">
        <f>2.5*tfa*BF62</f>
        <v>311.2137390544973</v>
      </c>
      <c r="BJ62" s="122" t="s">
        <v>53</v>
      </c>
      <c r="BK62" s="128"/>
      <c r="BL62" s="128"/>
      <c r="BM62" s="122"/>
    </row>
    <row r="63" spans="1:185" x14ac:dyDescent="0.4">
      <c r="A63" s="70" t="s">
        <v>13</v>
      </c>
      <c r="B63" s="1" t="s">
        <v>63</v>
      </c>
      <c r="C63" s="205">
        <f>16/3.28</f>
        <v>4.8780487804878048</v>
      </c>
      <c r="D63" s="1" t="s">
        <v>55</v>
      </c>
      <c r="AJ63" s="106" t="s">
        <v>429</v>
      </c>
      <c r="AK63" s="247">
        <v>0.13051869606903163</v>
      </c>
      <c r="AL63" s="247">
        <v>0.32629674017257909</v>
      </c>
      <c r="AN63" s="106" t="s">
        <v>429</v>
      </c>
      <c r="AO63" s="247">
        <v>0.13051869606903163</v>
      </c>
      <c r="AP63" s="247">
        <v>0.32629674017257909</v>
      </c>
      <c r="AX63" s="41" t="s">
        <v>64</v>
      </c>
      <c r="AY63" s="123">
        <v>21</v>
      </c>
      <c r="AZ63" s="122" t="s">
        <v>37</v>
      </c>
      <c r="BA63" s="123" t="s">
        <v>61</v>
      </c>
      <c r="BB63" s="127">
        <f>BB62/3.6</f>
        <v>3.0555555555555554</v>
      </c>
      <c r="BC63" s="123" t="s">
        <v>65</v>
      </c>
      <c r="BD63" s="122"/>
      <c r="BE63" s="123"/>
      <c r="BF63" s="122"/>
      <c r="BG63" s="122"/>
      <c r="BH63" s="122"/>
      <c r="BI63" s="122"/>
      <c r="BJ63" s="123"/>
      <c r="BK63" s="123"/>
      <c r="BL63" s="122"/>
      <c r="BM63" s="123"/>
    </row>
    <row r="64" spans="1:185" ht="14.25" thickBot="1" x14ac:dyDescent="0.45">
      <c r="A64" s="70" t="s">
        <v>13</v>
      </c>
      <c r="B64" s="1" t="s">
        <v>66</v>
      </c>
      <c r="C64" s="206">
        <f>4/3.28</f>
        <v>1.2195121951219512</v>
      </c>
      <c r="D64" s="1" t="s">
        <v>55</v>
      </c>
      <c r="AJ64" s="106" t="s">
        <v>430</v>
      </c>
      <c r="AK64" s="247">
        <v>0.218</v>
      </c>
      <c r="AL64" s="248">
        <v>0.54400000000000004</v>
      </c>
      <c r="AN64" s="106" t="s">
        <v>430</v>
      </c>
      <c r="AO64" s="247">
        <v>0.218</v>
      </c>
      <c r="AP64" s="248">
        <v>0.54400000000000004</v>
      </c>
      <c r="AX64" s="40"/>
      <c r="AY64" s="122"/>
      <c r="AZ64" s="122"/>
      <c r="BA64" s="122"/>
      <c r="BB64" s="122"/>
      <c r="BC64" s="122"/>
      <c r="BD64" s="122"/>
      <c r="BE64" s="122"/>
      <c r="BF64" s="122"/>
      <c r="BG64" s="122"/>
      <c r="BH64" s="122"/>
      <c r="BI64" s="122"/>
      <c r="BJ64" s="122"/>
      <c r="BK64" s="122"/>
      <c r="BL64" s="122"/>
      <c r="BM64" s="122"/>
    </row>
    <row r="65" spans="1:66" ht="14.25" thickBot="1" x14ac:dyDescent="0.45">
      <c r="AJ65" s="109" t="s">
        <v>431</v>
      </c>
      <c r="AK65" s="247">
        <v>0.26103739213806326</v>
      </c>
      <c r="AL65" s="248">
        <v>0.65259348034515818</v>
      </c>
      <c r="AN65" s="109" t="s">
        <v>431</v>
      </c>
      <c r="AO65" s="247">
        <v>0.26103739213806326</v>
      </c>
      <c r="AP65" s="248">
        <v>0.65259348034515818</v>
      </c>
      <c r="AX65" s="39" t="s">
        <v>67</v>
      </c>
      <c r="AY65" s="123"/>
      <c r="AZ65" s="122"/>
      <c r="BA65" s="122"/>
      <c r="BB65" s="123"/>
      <c r="BC65" s="122"/>
      <c r="BD65" s="122"/>
      <c r="BE65" s="122"/>
      <c r="BF65" s="123"/>
      <c r="BG65" s="123"/>
      <c r="BH65" s="122"/>
      <c r="BI65" s="122"/>
      <c r="BJ65" s="123"/>
      <c r="BK65" s="130">
        <v>130</v>
      </c>
      <c r="BL65" s="131">
        <v>5</v>
      </c>
      <c r="BM65" s="131">
        <v>5</v>
      </c>
    </row>
    <row r="66" spans="1:66" x14ac:dyDescent="0.4">
      <c r="B66" s="1" t="s">
        <v>68</v>
      </c>
      <c r="C66" s="281">
        <f>(heightabove+depthbelow)/3*length*width*90%</f>
        <v>414.53711495770534</v>
      </c>
      <c r="D66" s="1" t="s">
        <v>69</v>
      </c>
      <c r="AJ66" s="109" t="s">
        <v>433</v>
      </c>
      <c r="AK66" s="248">
        <v>0.43506232023010549</v>
      </c>
      <c r="AL66" s="248">
        <v>1.0876558005752637</v>
      </c>
      <c r="AN66" s="109" t="s">
        <v>433</v>
      </c>
      <c r="AO66" s="248">
        <v>0.43506232023010549</v>
      </c>
      <c r="AP66" s="248">
        <v>1.0876558005752637</v>
      </c>
      <c r="AX66" s="44" t="s">
        <v>70</v>
      </c>
      <c r="AY66" s="123"/>
      <c r="AZ66" s="123"/>
      <c r="BA66" s="123"/>
      <c r="BB66" s="45" t="s">
        <v>71</v>
      </c>
      <c r="BC66" s="123" t="s">
        <v>72</v>
      </c>
      <c r="BD66" s="123" t="s">
        <v>73</v>
      </c>
      <c r="BE66" s="45"/>
      <c r="BF66" s="123"/>
      <c r="BG66" s="45" t="s">
        <v>74</v>
      </c>
      <c r="BH66" s="123" t="s">
        <v>72</v>
      </c>
      <c r="BI66" s="123" t="s">
        <v>75</v>
      </c>
      <c r="BJ66" s="45"/>
      <c r="BK66" s="130" t="s">
        <v>76</v>
      </c>
      <c r="BL66" s="130" t="s">
        <v>77</v>
      </c>
      <c r="BM66" s="130" t="s">
        <v>77</v>
      </c>
    </row>
    <row r="67" spans="1:66" x14ac:dyDescent="0.4">
      <c r="B67" s="1" t="s">
        <v>78</v>
      </c>
      <c r="C67" s="233">
        <v>4</v>
      </c>
      <c r="D67" s="1" t="s">
        <v>79</v>
      </c>
      <c r="AJ67" s="110" t="s">
        <v>432</v>
      </c>
      <c r="AK67" s="247">
        <v>0.87012464046021099</v>
      </c>
      <c r="AL67" s="247">
        <v>2.1753116011505274</v>
      </c>
      <c r="AN67" s="110" t="s">
        <v>432</v>
      </c>
      <c r="AO67" s="247">
        <v>0.87012464046021099</v>
      </c>
      <c r="AP67" s="247">
        <v>2.1753116011505274</v>
      </c>
      <c r="AX67" s="46" t="s">
        <v>81</v>
      </c>
      <c r="AY67" s="45" t="s">
        <v>82</v>
      </c>
      <c r="AZ67" s="132" t="s">
        <v>83</v>
      </c>
      <c r="BA67" s="45"/>
      <c r="BB67" s="45" t="s">
        <v>84</v>
      </c>
      <c r="BC67" s="45" t="s">
        <v>85</v>
      </c>
      <c r="BD67" s="45" t="s">
        <v>86</v>
      </c>
      <c r="BE67" s="45" t="s">
        <v>87</v>
      </c>
      <c r="BF67" s="45"/>
      <c r="BG67" s="45" t="s">
        <v>84</v>
      </c>
      <c r="BH67" s="45" t="s">
        <v>85</v>
      </c>
      <c r="BI67" s="45" t="s">
        <v>86</v>
      </c>
      <c r="BJ67" s="45" t="s">
        <v>87</v>
      </c>
      <c r="BK67" s="47" t="s">
        <v>78</v>
      </c>
      <c r="BL67" s="47" t="s">
        <v>88</v>
      </c>
      <c r="BM67" s="47" t="s">
        <v>89</v>
      </c>
      <c r="BN67" s="43"/>
    </row>
    <row r="68" spans="1:66" ht="14.25" thickBot="1" x14ac:dyDescent="0.45">
      <c r="B68" s="1" t="s">
        <v>90</v>
      </c>
      <c r="C68" s="231">
        <v>1</v>
      </c>
      <c r="D68" s="1" t="s">
        <v>79</v>
      </c>
      <c r="AJ68" s="110"/>
      <c r="AK68" s="107"/>
      <c r="AL68" s="107"/>
      <c r="AN68" s="110"/>
      <c r="AO68" s="107"/>
      <c r="AP68" s="107"/>
      <c r="AX68" s="40" t="s">
        <v>92</v>
      </c>
      <c r="AY68" s="124">
        <f>D93</f>
        <v>0.33700000000000002</v>
      </c>
      <c r="AZ68" s="127">
        <f>(2*(length*heightabove)+2*(width*heightabove))-SUM($C$76:$C$79,$C$81)</f>
        <v>269.06757882212969</v>
      </c>
      <c r="BA68" s="127"/>
      <c r="BB68" s="133">
        <f>BB58</f>
        <v>60</v>
      </c>
      <c r="BC68" s="134">
        <f>AY68*AZ68*BB68</f>
        <v>5440.5464437834626</v>
      </c>
      <c r="BD68" s="134">
        <f>BI61*BB58*0.33</f>
        <v>14883.540575441451</v>
      </c>
      <c r="BE68" s="134">
        <f>BI62*BB58*0.33*(1-BF59)</f>
        <v>2464.8128133116188</v>
      </c>
      <c r="BF68" s="134"/>
      <c r="BG68" s="134">
        <f>BB59</f>
        <v>5</v>
      </c>
      <c r="BH68" s="134">
        <f>AY68*AZ68*BG68</f>
        <v>453.37887031528857</v>
      </c>
      <c r="BI68" s="134">
        <f>BF58*BI61*BB63</f>
        <v>2640.0490590750405</v>
      </c>
      <c r="BJ68" s="134">
        <f>BF58*BI62*BB63*(1-BF59)</f>
        <v>437.20959509571776</v>
      </c>
      <c r="BK68" s="134">
        <f>BK65*occupants</f>
        <v>520</v>
      </c>
      <c r="BL68" s="134">
        <f>BL65*tfa</f>
        <v>2072.6855747885265</v>
      </c>
      <c r="BM68" s="134">
        <f>BM65*tfa</f>
        <v>2072.6855747885265</v>
      </c>
    </row>
    <row r="69" spans="1:66" ht="14.25" thickBot="1" x14ac:dyDescent="0.45">
      <c r="AJ69" s="111" t="s">
        <v>80</v>
      </c>
      <c r="AK69" s="105"/>
      <c r="AL69" s="105"/>
      <c r="AN69" s="111" t="s">
        <v>80</v>
      </c>
      <c r="AO69" s="105"/>
      <c r="AP69" s="105"/>
      <c r="AX69" s="40" t="s">
        <v>93</v>
      </c>
      <c r="AY69" s="124">
        <f>D94</f>
        <v>0.33600000000000002</v>
      </c>
      <c r="AZ69" s="127">
        <f>2*(length*heightbelow)+2*(width*heightbelow)</f>
        <v>73.616894705532417</v>
      </c>
      <c r="BA69" s="127"/>
      <c r="BB69" s="133">
        <f>AY58-AY60</f>
        <v>15</v>
      </c>
      <c r="BC69" s="134">
        <f>AY69*AZ69*BB69</f>
        <v>371.02914931588339</v>
      </c>
      <c r="BD69" s="134"/>
      <c r="BE69" s="134"/>
      <c r="BF69" s="134"/>
      <c r="BG69" s="134"/>
      <c r="BH69" s="134">
        <f>AY69*AZ69*BG69</f>
        <v>0</v>
      </c>
      <c r="BI69" s="134"/>
      <c r="BJ69" s="134"/>
      <c r="BK69" s="134"/>
      <c r="BL69" s="134"/>
      <c r="BM69" s="134"/>
    </row>
    <row r="70" spans="1:66" x14ac:dyDescent="0.4">
      <c r="B70" s="1" t="s">
        <v>96</v>
      </c>
      <c r="C70" s="281">
        <f>length*width</f>
        <v>226.61362284354556</v>
      </c>
      <c r="D70" s="1" t="s">
        <v>69</v>
      </c>
      <c r="AP70" s="7" t="s">
        <v>91</v>
      </c>
      <c r="AX70" s="40" t="s">
        <v>94</v>
      </c>
      <c r="AY70" s="124">
        <f>D95</f>
        <v>0.11534025374855825</v>
      </c>
      <c r="AZ70" s="127">
        <f>$C$70</f>
        <v>226.61362284354556</v>
      </c>
      <c r="BA70" s="127"/>
      <c r="BB70" s="133">
        <f>BB58</f>
        <v>60</v>
      </c>
      <c r="BC70" s="134">
        <f>AY70*AZ70*BB70</f>
        <v>1568.2603656992771</v>
      </c>
      <c r="BD70" s="134"/>
      <c r="BE70" s="134"/>
      <c r="BF70" s="134"/>
      <c r="BG70" s="134">
        <f>BB59</f>
        <v>5</v>
      </c>
      <c r="BH70" s="134">
        <f>AY70*AZ70*BG70</f>
        <v>130.6883638082731</v>
      </c>
      <c r="BI70" s="134"/>
      <c r="BJ70" s="134"/>
      <c r="BK70" s="134"/>
      <c r="BL70" s="134"/>
      <c r="BM70" s="134"/>
    </row>
    <row r="71" spans="1:66" ht="14.25" thickBot="1" x14ac:dyDescent="0.45">
      <c r="B71" s="1" t="s">
        <v>97</v>
      </c>
      <c r="C71" s="282">
        <f>length*width</f>
        <v>226.61362284354556</v>
      </c>
      <c r="D71" s="1" t="s">
        <v>69</v>
      </c>
      <c r="AJ71" s="111" t="s">
        <v>92</v>
      </c>
      <c r="AK71" s="111" t="s">
        <v>82</v>
      </c>
      <c r="AM71" s="111" t="s">
        <v>93</v>
      </c>
      <c r="AN71" s="111" t="s">
        <v>82</v>
      </c>
      <c r="AP71" s="111" t="s">
        <v>94</v>
      </c>
      <c r="AQ71" s="111" t="s">
        <v>82</v>
      </c>
      <c r="AS71" s="111" t="s">
        <v>95</v>
      </c>
      <c r="AT71" s="111" t="s">
        <v>82</v>
      </c>
      <c r="AW71" s="21"/>
      <c r="AX71" s="40" t="s">
        <v>95</v>
      </c>
      <c r="AY71" s="124">
        <f>D96</f>
        <v>0.51</v>
      </c>
      <c r="AZ71" s="127">
        <f>$C$71</f>
        <v>226.61362284354556</v>
      </c>
      <c r="BA71" s="127"/>
      <c r="BB71" s="133">
        <f>AY58-AY60</f>
        <v>15</v>
      </c>
      <c r="BC71" s="134">
        <f>AY71*AZ71*BB71</f>
        <v>1733.5942147531234</v>
      </c>
      <c r="BD71" s="134"/>
      <c r="BE71" s="134"/>
      <c r="BF71" s="134"/>
      <c r="BG71" s="134"/>
      <c r="BH71" s="134">
        <f>AY71*AZ71*BG71</f>
        <v>0</v>
      </c>
      <c r="BI71" s="134"/>
      <c r="BJ71" s="134"/>
      <c r="BK71" s="134"/>
      <c r="BL71" s="134"/>
      <c r="BM71" s="134"/>
    </row>
    <row r="72" spans="1:66" ht="14.25" thickBot="1" x14ac:dyDescent="0.45">
      <c r="AJ72" s="105" t="str">
        <f>_xlfn.CONCAT("a. R",MROUND(5.678/AK72,1)," - Uninsulated")</f>
        <v>a. R1 - Uninsulated</v>
      </c>
      <c r="AK72" s="112">
        <v>4.5270000000000001</v>
      </c>
      <c r="AM72" s="105" t="str">
        <f>_xlfn.CONCAT("a. R",MROUND(5.678/AN72,1)," - Concrete Uninsulated")</f>
        <v>a. R6 - Concrete Uninsulated</v>
      </c>
      <c r="AN72" s="112">
        <v>1</v>
      </c>
      <c r="AP72" s="105" t="str">
        <f>_xlfn.CONCAT("a. R",MROUND(5.678/AQ72,1)," - Uninsulated")</f>
        <v>a. R1 - Uninsulated</v>
      </c>
      <c r="AQ72" s="112">
        <v>3.987359550561798</v>
      </c>
      <c r="AS72" s="105" t="str">
        <f>_xlfn.CONCAT("a. R",MROUND(5.678/AT72,1)," - Uninsulated [NBC Below Frost]")</f>
        <v>a. R6 - Uninsulated [NBC Below Frost]</v>
      </c>
      <c r="AT72" s="108">
        <v>1</v>
      </c>
      <c r="AX72" s="40" t="s">
        <v>106</v>
      </c>
      <c r="AY72" s="124">
        <f>D101</f>
        <v>0.56779999999999997</v>
      </c>
      <c r="AZ72" s="127">
        <f>$C$81</f>
        <v>5.9</v>
      </c>
      <c r="BA72" s="122"/>
      <c r="BB72" s="133">
        <f>BB58</f>
        <v>60</v>
      </c>
      <c r="BC72" s="134">
        <f>AY72*AZ72*BB72</f>
        <v>201.00120000000001</v>
      </c>
      <c r="BD72" s="122"/>
      <c r="BE72" s="122"/>
      <c r="BF72" s="122"/>
      <c r="BG72" s="134">
        <f>BB59</f>
        <v>5</v>
      </c>
      <c r="BH72" s="134">
        <f>AY72*AZ72*BG72</f>
        <v>16.7501</v>
      </c>
      <c r="BI72" s="122"/>
      <c r="BJ72" s="122"/>
      <c r="BK72" s="122"/>
      <c r="BL72" s="134"/>
      <c r="BM72" s="134"/>
    </row>
    <row r="73" spans="1:66" ht="14.25" thickBot="1" x14ac:dyDescent="0.45">
      <c r="A73" s="70" t="s">
        <v>13</v>
      </c>
      <c r="B73" s="1" t="s">
        <v>107</v>
      </c>
      <c r="C73" s="203">
        <f>roofarea/2</f>
        <v>113.30681142177278</v>
      </c>
      <c r="D73" s="1" t="s">
        <v>69</v>
      </c>
      <c r="L73" s="7"/>
      <c r="AI73" s="11" t="s">
        <v>98</v>
      </c>
      <c r="AJ73" s="105" t="s">
        <v>99</v>
      </c>
      <c r="AK73" s="112">
        <v>0.55300000000000005</v>
      </c>
      <c r="AM73" s="105" t="s">
        <v>100</v>
      </c>
      <c r="AN73" s="112">
        <v>0.437</v>
      </c>
      <c r="AP73" s="105" t="s">
        <v>101</v>
      </c>
      <c r="AQ73" s="112">
        <f>5.678/20</f>
        <v>0.28389999999999999</v>
      </c>
      <c r="AR73" s="7" t="s">
        <v>102</v>
      </c>
      <c r="AS73" s="105" t="s">
        <v>410</v>
      </c>
      <c r="AT73" s="108">
        <v>0.51</v>
      </c>
      <c r="AX73" s="42"/>
      <c r="AY73" s="127"/>
      <c r="AZ73" s="127"/>
      <c r="BA73" s="135"/>
      <c r="BB73" s="127"/>
      <c r="BC73" s="127"/>
      <c r="BD73" s="133" t="s">
        <v>109</v>
      </c>
      <c r="BE73" s="134">
        <f>SUM(BC68:BE72)+SUM(BG77:BG80)</f>
        <v>28534.784762304815</v>
      </c>
      <c r="BF73" s="134"/>
      <c r="BG73" s="134"/>
      <c r="BH73" s="134"/>
      <c r="BI73" s="134"/>
      <c r="BJ73" s="134"/>
      <c r="BK73" s="134"/>
      <c r="BL73" s="134" t="s">
        <v>109</v>
      </c>
      <c r="BM73" s="134">
        <f>SUM(BH68:BM72,BK77:BK80)</f>
        <v>9179.7859378713729</v>
      </c>
    </row>
    <row r="74" spans="1:66" x14ac:dyDescent="0.4">
      <c r="AI74" s="11" t="s">
        <v>103</v>
      </c>
      <c r="AJ74" s="105" t="s">
        <v>104</v>
      </c>
      <c r="AK74" s="112">
        <v>0.379</v>
      </c>
      <c r="AM74" s="105" t="s">
        <v>409</v>
      </c>
      <c r="AN74" s="105">
        <v>0.33600000000000002</v>
      </c>
      <c r="AP74" s="105" t="s">
        <v>105</v>
      </c>
      <c r="AQ74" s="112">
        <f>5.678/40</f>
        <v>0.14194999999999999</v>
      </c>
      <c r="AS74" s="105" t="s">
        <v>411</v>
      </c>
      <c r="AT74" s="108">
        <v>0.433</v>
      </c>
      <c r="AX74" s="42"/>
      <c r="AY74" s="127"/>
      <c r="AZ74" s="127"/>
      <c r="BA74" s="127"/>
      <c r="BB74" s="135"/>
      <c r="BC74" s="127"/>
      <c r="BD74" s="127"/>
      <c r="BE74" s="133"/>
      <c r="BF74" s="134"/>
      <c r="BG74" s="134"/>
      <c r="BH74" s="134"/>
      <c r="BI74" s="134"/>
      <c r="BJ74" s="134"/>
      <c r="BK74" s="134"/>
      <c r="BL74" s="134"/>
      <c r="BM74" s="134"/>
    </row>
    <row r="75" spans="1:66" ht="14.25" thickBot="1" x14ac:dyDescent="0.45">
      <c r="B75" s="1" t="s">
        <v>112</v>
      </c>
      <c r="AI75" s="11"/>
      <c r="AJ75" s="105" t="s">
        <v>400</v>
      </c>
      <c r="AK75" s="112">
        <v>0.33700000000000002</v>
      </c>
      <c r="AM75" s="105" t="s">
        <v>394</v>
      </c>
      <c r="AN75" s="112">
        <v>0.22800000000000001</v>
      </c>
      <c r="AP75" s="105" t="s">
        <v>399</v>
      </c>
      <c r="AQ75" s="112">
        <v>0.11534025374855825</v>
      </c>
      <c r="AS75" s="105" t="s">
        <v>412</v>
      </c>
      <c r="AT75" s="108">
        <v>0.35199999999999998</v>
      </c>
      <c r="AX75" s="44" t="s">
        <v>114</v>
      </c>
      <c r="AY75" s="123"/>
      <c r="AZ75" s="123"/>
      <c r="BA75" s="122"/>
      <c r="BB75" s="123"/>
      <c r="BC75" s="122"/>
      <c r="BD75" s="122"/>
      <c r="BE75" s="122"/>
      <c r="BF75" s="122"/>
      <c r="BG75" s="122"/>
      <c r="BH75" s="122"/>
      <c r="BI75" s="45" t="s">
        <v>115</v>
      </c>
      <c r="BJ75" s="45"/>
      <c r="BK75" s="45"/>
      <c r="BL75" s="134"/>
      <c r="BM75" s="134"/>
    </row>
    <row r="76" spans="1:66" ht="16.149999999999999" x14ac:dyDescent="0.55000000000000004">
      <c r="A76" s="70" t="s">
        <v>13</v>
      </c>
      <c r="B76" s="1" t="s">
        <v>116</v>
      </c>
      <c r="C76" s="204">
        <v>5.57</v>
      </c>
      <c r="D76" s="1" t="s">
        <v>69</v>
      </c>
      <c r="AI76" s="11" t="s">
        <v>110</v>
      </c>
      <c r="AJ76" s="105" t="s">
        <v>387</v>
      </c>
      <c r="AK76" s="112">
        <v>0.29799999999999999</v>
      </c>
      <c r="AM76" s="105" t="s">
        <v>395</v>
      </c>
      <c r="AN76" s="112">
        <v>0.154</v>
      </c>
      <c r="AP76" s="105" t="s">
        <v>108</v>
      </c>
      <c r="AQ76" s="112">
        <f>5.678/60</f>
        <v>9.4633333333333333E-2</v>
      </c>
      <c r="AS76" s="105" t="s">
        <v>413</v>
      </c>
      <c r="AT76" s="108">
        <v>0.22700000000000001</v>
      </c>
      <c r="AX76" s="46" t="s">
        <v>117</v>
      </c>
      <c r="AY76" s="45" t="s">
        <v>118</v>
      </c>
      <c r="AZ76" s="45" t="s">
        <v>119</v>
      </c>
      <c r="BA76" s="45" t="s">
        <v>120</v>
      </c>
      <c r="BB76" s="45" t="s">
        <v>121</v>
      </c>
      <c r="BC76" s="45" t="s">
        <v>122</v>
      </c>
      <c r="BD76" s="45" t="s">
        <v>123</v>
      </c>
      <c r="BE76" s="45" t="s">
        <v>124</v>
      </c>
      <c r="BF76" s="45"/>
      <c r="BG76" s="45" t="s">
        <v>125</v>
      </c>
      <c r="BH76" s="45"/>
      <c r="BI76" s="45" t="s">
        <v>126</v>
      </c>
      <c r="BJ76" s="45" t="s">
        <v>127</v>
      </c>
      <c r="BK76" s="45" t="s">
        <v>109</v>
      </c>
      <c r="BL76" s="134"/>
      <c r="BM76" s="134"/>
    </row>
    <row r="77" spans="1:66" x14ac:dyDescent="0.4">
      <c r="A77" s="70" t="s">
        <v>13</v>
      </c>
      <c r="B77" s="1" t="s">
        <v>128</v>
      </c>
      <c r="C77" s="205">
        <v>1.1100000000000001</v>
      </c>
      <c r="D77" s="1" t="s">
        <v>69</v>
      </c>
      <c r="AI77" s="11"/>
      <c r="AJ77" s="105" t="s">
        <v>388</v>
      </c>
      <c r="AK77" s="112">
        <v>0.27300000000000002</v>
      </c>
      <c r="AM77" s="105" t="s">
        <v>396</v>
      </c>
      <c r="AN77" s="112">
        <v>0.60099999999999998</v>
      </c>
      <c r="AP77" s="105" t="s">
        <v>111</v>
      </c>
      <c r="AQ77" s="112">
        <f>5.678/80</f>
        <v>7.0974999999999996E-2</v>
      </c>
      <c r="AS77" s="105" t="s">
        <v>414</v>
      </c>
      <c r="AT77" s="108">
        <v>0.154</v>
      </c>
      <c r="AX77" s="40" t="s">
        <v>116</v>
      </c>
      <c r="AY77" s="124">
        <f>$D$99</f>
        <v>1.6</v>
      </c>
      <c r="AZ77" s="124">
        <f>$D$100</f>
        <v>0.4</v>
      </c>
      <c r="BA77" s="129">
        <f>C76</f>
        <v>5.57</v>
      </c>
      <c r="BB77" s="127">
        <f>BA77*0.75</f>
        <v>4.1775000000000002</v>
      </c>
      <c r="BC77" s="125">
        <v>0.6</v>
      </c>
      <c r="BD77" s="122">
        <v>360</v>
      </c>
      <c r="BE77" s="134">
        <v>93</v>
      </c>
      <c r="BF77" s="122"/>
      <c r="BG77" s="134">
        <f>AY77*BA77*($AY$108-$AY$111)</f>
        <v>534.72</v>
      </c>
      <c r="BH77" s="122"/>
      <c r="BI77" s="134">
        <f>AY77*BA77*($AY$112-$AY$109)</f>
        <v>44.56</v>
      </c>
      <c r="BJ77" s="134">
        <f>BB77*AZ77*BC77*BE77</f>
        <v>93.241800000000012</v>
      </c>
      <c r="BK77" s="134">
        <f>BI77+BJ77</f>
        <v>137.80180000000001</v>
      </c>
      <c r="BL77" s="134"/>
      <c r="BM77" s="134"/>
    </row>
    <row r="78" spans="1:66" x14ac:dyDescent="0.4">
      <c r="A78" s="70" t="s">
        <v>13</v>
      </c>
      <c r="B78" s="1" t="s">
        <v>130</v>
      </c>
      <c r="C78" s="205">
        <v>9.1999999999999993</v>
      </c>
      <c r="D78" s="1" t="s">
        <v>69</v>
      </c>
      <c r="AI78" s="11"/>
      <c r="AJ78" s="105" t="s">
        <v>389</v>
      </c>
      <c r="AK78" s="112">
        <v>0.183</v>
      </c>
      <c r="AM78" s="105" t="s">
        <v>397</v>
      </c>
      <c r="AN78" s="112">
        <v>0.40100000000000002</v>
      </c>
      <c r="AP78" s="105" t="s">
        <v>113</v>
      </c>
      <c r="AQ78" s="112">
        <f>5.678/100</f>
        <v>5.6779999999999997E-2</v>
      </c>
      <c r="AS78" s="105"/>
      <c r="AT78" s="108"/>
      <c r="AX78" s="40" t="s">
        <v>128</v>
      </c>
      <c r="AY78" s="124">
        <f>$D$99</f>
        <v>1.6</v>
      </c>
      <c r="AZ78" s="124">
        <f>$D$100</f>
        <v>0.4</v>
      </c>
      <c r="BA78" s="129">
        <f>C77</f>
        <v>1.1100000000000001</v>
      </c>
      <c r="BB78" s="127">
        <f>BA78*0.75</f>
        <v>0.83250000000000002</v>
      </c>
      <c r="BC78" s="125">
        <f>BC77</f>
        <v>0.6</v>
      </c>
      <c r="BD78" s="122">
        <v>90</v>
      </c>
      <c r="BE78" s="134">
        <v>285</v>
      </c>
      <c r="BF78" s="122"/>
      <c r="BG78" s="134">
        <f>AY78*BA78*($AY$108-$AY$111)</f>
        <v>106.56000000000002</v>
      </c>
      <c r="BH78" s="122"/>
      <c r="BI78" s="134">
        <f>AY78*BA78*($AY$112-$AY$109)</f>
        <v>8.8800000000000008</v>
      </c>
      <c r="BJ78" s="134">
        <f>BB78*AZ78*BC78*BE78</f>
        <v>56.943000000000005</v>
      </c>
      <c r="BK78" s="134">
        <f>BI78+BJ78</f>
        <v>65.823000000000008</v>
      </c>
      <c r="BL78" s="134"/>
      <c r="BM78" s="134"/>
    </row>
    <row r="79" spans="1:66" ht="14.25" thickBot="1" x14ac:dyDescent="0.45">
      <c r="A79" s="70" t="s">
        <v>13</v>
      </c>
      <c r="B79" s="1" t="s">
        <v>131</v>
      </c>
      <c r="C79" s="206">
        <v>3.62</v>
      </c>
      <c r="D79" s="1" t="s">
        <v>69</v>
      </c>
      <c r="AI79" s="11" t="s">
        <v>129</v>
      </c>
      <c r="AJ79" s="105" t="s">
        <v>417</v>
      </c>
      <c r="AK79" s="112">
        <v>0.16200000000000001</v>
      </c>
      <c r="AM79" s="105" t="s">
        <v>398</v>
      </c>
      <c r="AN79" s="112">
        <v>0.192</v>
      </c>
      <c r="AP79" s="105"/>
      <c r="AQ79" s="105"/>
      <c r="AS79" s="105"/>
      <c r="AT79" s="108"/>
      <c r="AX79" s="40" t="s">
        <v>130</v>
      </c>
      <c r="AY79" s="124">
        <f>$D$99</f>
        <v>1.6</v>
      </c>
      <c r="AZ79" s="124">
        <f>$D$100</f>
        <v>0.4</v>
      </c>
      <c r="BA79" s="129">
        <f>C78</f>
        <v>9.1999999999999993</v>
      </c>
      <c r="BB79" s="127">
        <f>BA79*0.75</f>
        <v>6.8999999999999995</v>
      </c>
      <c r="BC79" s="125">
        <f>BC78</f>
        <v>0.6</v>
      </c>
      <c r="BD79" s="122">
        <v>180</v>
      </c>
      <c r="BE79" s="134">
        <v>208</v>
      </c>
      <c r="BF79" s="122"/>
      <c r="BG79" s="134">
        <f>AY79*BA79*($AY$108-$AY$111)</f>
        <v>883.19999999999993</v>
      </c>
      <c r="BH79" s="122"/>
      <c r="BI79" s="134">
        <f>AY79*BA79*($AY$112-$AY$109)</f>
        <v>73.599999999999994</v>
      </c>
      <c r="BJ79" s="134">
        <f>BB79*AZ79*BC79*BE79</f>
        <v>344.44799999999998</v>
      </c>
      <c r="BK79" s="134">
        <f>BI79+BJ79</f>
        <v>418.048</v>
      </c>
      <c r="BL79" s="122"/>
      <c r="BM79" s="122"/>
    </row>
    <row r="80" spans="1:66" ht="14.25" thickBot="1" x14ac:dyDescent="0.45">
      <c r="AI80" s="48">
        <v>11.875</v>
      </c>
      <c r="AJ80" s="105" t="s">
        <v>390</v>
      </c>
      <c r="AK80" s="112">
        <v>0.13600000000000001</v>
      </c>
      <c r="AM80" s="105"/>
      <c r="AN80" s="105"/>
      <c r="AP80" s="105"/>
      <c r="AQ80" s="105"/>
      <c r="AS80" s="105"/>
      <c r="AT80" s="108"/>
      <c r="AX80" s="40" t="s">
        <v>131</v>
      </c>
      <c r="AY80" s="124">
        <f>$D$99</f>
        <v>1.6</v>
      </c>
      <c r="AZ80" s="124">
        <f>$D$100</f>
        <v>0.4</v>
      </c>
      <c r="BA80" s="129">
        <f>C79</f>
        <v>3.62</v>
      </c>
      <c r="BB80" s="127">
        <f>BA80*0.75</f>
        <v>2.7149999999999999</v>
      </c>
      <c r="BC80" s="125">
        <f>BC79</f>
        <v>0.6</v>
      </c>
      <c r="BD80" s="122">
        <v>270</v>
      </c>
      <c r="BE80" s="134">
        <v>285</v>
      </c>
      <c r="BF80" s="122"/>
      <c r="BG80" s="134">
        <f>AY80*BA80*($AY$108-$AY$111)</f>
        <v>347.52000000000004</v>
      </c>
      <c r="BH80" s="122"/>
      <c r="BI80" s="134">
        <f>AY80*BA80*($AY$112-$AY$109)</f>
        <v>28.960000000000004</v>
      </c>
      <c r="BJ80" s="134">
        <f>BB80*AZ80*BC80*BE80</f>
        <v>185.70600000000002</v>
      </c>
      <c r="BK80" s="134">
        <f>BI80+BJ80</f>
        <v>214.66600000000003</v>
      </c>
      <c r="BL80" s="122"/>
      <c r="BM80" s="122"/>
    </row>
    <row r="81" spans="1:185" ht="14.25" thickBot="1" x14ac:dyDescent="0.45">
      <c r="A81" s="70" t="s">
        <v>13</v>
      </c>
      <c r="B81" s="1" t="s">
        <v>132</v>
      </c>
      <c r="C81" s="203">
        <v>5.9</v>
      </c>
      <c r="D81" s="1" t="s">
        <v>69</v>
      </c>
      <c r="AJ81" s="105" t="s">
        <v>391</v>
      </c>
      <c r="AK81" s="112">
        <v>0.113</v>
      </c>
      <c r="AM81" s="105"/>
      <c r="AN81" s="105"/>
      <c r="AP81" s="105"/>
      <c r="AQ81" s="105"/>
      <c r="AS81" s="105"/>
      <c r="AT81" s="108"/>
    </row>
    <row r="82" spans="1:185" ht="14.25" thickBot="1" x14ac:dyDescent="0.45">
      <c r="AJ82" s="105" t="s">
        <v>392</v>
      </c>
      <c r="AK82" s="112">
        <v>0.22</v>
      </c>
      <c r="AM82" s="105"/>
      <c r="AN82" s="105"/>
      <c r="AP82" s="105"/>
      <c r="AQ82" s="105"/>
      <c r="AS82" s="105"/>
      <c r="AT82" s="108"/>
    </row>
    <row r="83" spans="1:185" ht="20.65" thickBot="1" x14ac:dyDescent="0.6">
      <c r="B83" s="1" t="s">
        <v>133</v>
      </c>
      <c r="C83" s="277">
        <f>length*width*(heightabove+depthbelow)</f>
        <v>1381.7903831923509</v>
      </c>
      <c r="D83" s="1" t="s">
        <v>134</v>
      </c>
      <c r="AJ83" s="105" t="s">
        <v>393</v>
      </c>
      <c r="AK83" s="112">
        <v>0.10299999999999999</v>
      </c>
      <c r="AM83" s="105"/>
      <c r="AN83" s="105"/>
      <c r="AP83" s="105"/>
      <c r="AQ83" s="105"/>
      <c r="AS83" s="105"/>
      <c r="AT83" s="108"/>
      <c r="AX83" s="103" t="s">
        <v>137</v>
      </c>
      <c r="AY83" s="122"/>
      <c r="AZ83" s="122" t="s">
        <v>138</v>
      </c>
      <c r="BA83" s="122">
        <v>0.4</v>
      </c>
      <c r="BB83" s="122"/>
      <c r="BC83" s="122"/>
      <c r="BD83" s="122"/>
      <c r="BE83" s="122"/>
      <c r="BF83" s="122"/>
      <c r="BG83" s="122"/>
      <c r="BH83" s="122"/>
      <c r="BI83" s="122"/>
      <c r="BJ83" s="122"/>
      <c r="BK83" s="122"/>
      <c r="BL83" s="122"/>
      <c r="BM83" s="122"/>
    </row>
    <row r="84" spans="1:185" ht="15" x14ac:dyDescent="0.4">
      <c r="AJ84" s="105" t="s">
        <v>434</v>
      </c>
      <c r="AK84" s="112">
        <v>7.5999999999999998E-2</v>
      </c>
      <c r="AM84" s="105"/>
      <c r="AN84" s="105"/>
      <c r="AP84" s="105"/>
      <c r="AQ84" s="105"/>
      <c r="AS84" s="105"/>
      <c r="AT84" s="108"/>
      <c r="AX84" s="50" t="s">
        <v>141</v>
      </c>
      <c r="AY84" s="122"/>
      <c r="AZ84" s="122"/>
      <c r="BA84" s="122"/>
      <c r="BB84" s="122"/>
      <c r="BC84" s="122"/>
      <c r="BD84" s="136" t="s">
        <v>425</v>
      </c>
      <c r="BE84" s="122"/>
      <c r="BF84" s="122"/>
      <c r="BG84" s="122"/>
      <c r="BH84" s="122"/>
      <c r="BI84" s="122"/>
      <c r="BJ84" s="122"/>
      <c r="BK84" s="122"/>
      <c r="BL84" s="122"/>
      <c r="BM84" s="122"/>
    </row>
    <row r="85" spans="1:185" s="4" customFormat="1" ht="16.5" thickBot="1" x14ac:dyDescent="0.6">
      <c r="A85" s="1"/>
      <c r="B85" s="1" t="s">
        <v>499</v>
      </c>
      <c r="C85" s="1"/>
      <c r="D85" s="1"/>
      <c r="E85" s="1"/>
      <c r="F85" s="1"/>
      <c r="G85" s="1"/>
      <c r="H85" s="1"/>
      <c r="I85" s="1"/>
      <c r="J85" s="1"/>
      <c r="K85" s="1"/>
      <c r="L85" s="1"/>
      <c r="M85" s="1"/>
      <c r="N85" s="1"/>
      <c r="O85" s="1"/>
      <c r="P85" s="1"/>
      <c r="Q85" s="1"/>
      <c r="R85" s="1"/>
      <c r="S85" s="1"/>
      <c r="T85" s="1"/>
      <c r="U85" s="1"/>
      <c r="V85" s="7"/>
      <c r="W85" s="7"/>
      <c r="X85" s="7"/>
      <c r="Y85" s="7"/>
      <c r="Z85" s="7"/>
      <c r="AA85" s="7"/>
      <c r="AB85" s="7"/>
      <c r="AC85" s="7"/>
      <c r="AD85" s="7"/>
      <c r="AE85" s="7"/>
      <c r="AF85" s="7"/>
      <c r="AG85" s="7"/>
      <c r="AH85" s="7"/>
      <c r="AI85" s="7"/>
      <c r="AJ85" s="105"/>
      <c r="AK85" s="112"/>
      <c r="AL85" s="7"/>
      <c r="AM85" s="105"/>
      <c r="AN85" s="105"/>
      <c r="AO85" s="7"/>
      <c r="AP85" s="105"/>
      <c r="AQ85" s="105"/>
      <c r="AR85" s="7"/>
      <c r="AS85" s="105"/>
      <c r="AT85" s="108"/>
      <c r="AU85" s="7"/>
      <c r="AV85" s="7"/>
      <c r="AW85" s="7"/>
      <c r="AX85" s="46" t="s">
        <v>81</v>
      </c>
      <c r="AY85" s="132" t="s">
        <v>83</v>
      </c>
      <c r="AZ85" s="45" t="s">
        <v>82</v>
      </c>
      <c r="BA85" s="132" t="s">
        <v>144</v>
      </c>
      <c r="BB85" s="132" t="s">
        <v>145</v>
      </c>
      <c r="BC85" s="122"/>
      <c r="BD85" s="122"/>
      <c r="BE85" s="122"/>
      <c r="BF85" s="132" t="s">
        <v>148</v>
      </c>
      <c r="BG85" s="51" t="s">
        <v>149</v>
      </c>
      <c r="BH85" s="132" t="s">
        <v>144</v>
      </c>
      <c r="BI85" s="132" t="s">
        <v>145</v>
      </c>
      <c r="BJ85" s="122"/>
      <c r="BK85" s="122"/>
      <c r="BL85" s="122"/>
      <c r="BM85" s="122"/>
      <c r="BN85" s="7"/>
      <c r="BO85" s="7"/>
      <c r="BP85" s="7"/>
      <c r="BQ85" s="7"/>
      <c r="BR85" s="7"/>
      <c r="BS85" s="7"/>
      <c r="BT85" s="7"/>
      <c r="BU85" s="7"/>
      <c r="BV85" s="7"/>
      <c r="BW85" s="7"/>
      <c r="BX85" s="7"/>
      <c r="BY85" s="7"/>
      <c r="BZ85" s="7"/>
      <c r="CA85" s="7"/>
      <c r="CB85" s="7"/>
      <c r="CC85" s="7"/>
      <c r="CD85" s="7"/>
      <c r="CE85" s="7"/>
      <c r="CF85" s="7"/>
      <c r="CG85" s="7"/>
      <c r="CH85" s="7"/>
      <c r="CI85" s="7"/>
      <c r="CJ85" s="7"/>
      <c r="CK85" s="7"/>
      <c r="CL85" s="7"/>
      <c r="CM85" s="7"/>
      <c r="CN85" s="7"/>
      <c r="CO85" s="7"/>
      <c r="CP85" s="7"/>
      <c r="CQ85" s="7"/>
      <c r="CR85" s="7"/>
      <c r="CS85" s="7"/>
      <c r="CT85" s="7"/>
      <c r="CU85" s="7"/>
      <c r="CV85" s="7"/>
      <c r="CW85" s="7"/>
      <c r="CX85" s="7"/>
      <c r="CY85" s="7"/>
      <c r="CZ85" s="7"/>
      <c r="DA85" s="7"/>
      <c r="DB85" s="7"/>
      <c r="DC85" s="7"/>
      <c r="DD85" s="7"/>
      <c r="DE85" s="7"/>
      <c r="DF85" s="7"/>
      <c r="DG85" s="7"/>
      <c r="DH85" s="7"/>
      <c r="DI85" s="7"/>
      <c r="DJ85" s="7"/>
      <c r="DK85" s="7"/>
      <c r="DL85" s="7"/>
      <c r="DM85" s="7"/>
      <c r="DN85" s="7"/>
      <c r="DO85" s="7"/>
      <c r="DP85" s="7"/>
      <c r="DQ85" s="7"/>
      <c r="DR85" s="7"/>
      <c r="DS85" s="7"/>
      <c r="DT85" s="7"/>
      <c r="DU85" s="7"/>
      <c r="DV85" s="7"/>
      <c r="DW85" s="7"/>
      <c r="DX85" s="7"/>
      <c r="DY85" s="7"/>
      <c r="DZ85" s="7"/>
      <c r="EA85" s="7"/>
      <c r="EB85" s="7"/>
      <c r="EC85" s="7"/>
      <c r="ED85" s="7"/>
      <c r="EE85" s="7"/>
      <c r="EF85" s="7"/>
      <c r="EG85" s="7"/>
      <c r="EH85" s="7"/>
      <c r="EI85" s="7"/>
      <c r="EJ85" s="7"/>
      <c r="EK85" s="7"/>
      <c r="EL85" s="7"/>
      <c r="EM85" s="7"/>
      <c r="EN85" s="7"/>
      <c r="EO85" s="7"/>
      <c r="EP85" s="7"/>
      <c r="EQ85" s="7"/>
      <c r="ER85" s="7"/>
      <c r="ES85" s="7"/>
      <c r="ET85" s="7"/>
      <c r="EU85" s="7"/>
      <c r="EV85" s="7"/>
      <c r="EW85" s="7"/>
      <c r="EX85" s="7"/>
      <c r="EY85" s="7"/>
      <c r="EZ85" s="7"/>
      <c r="FA85" s="7"/>
      <c r="FB85" s="7"/>
      <c r="FC85" s="7"/>
      <c r="FD85" s="7"/>
      <c r="FE85" s="7"/>
      <c r="FF85" s="7"/>
      <c r="FG85" s="7"/>
      <c r="FH85" s="7"/>
      <c r="FI85" s="7"/>
      <c r="FJ85" s="7"/>
      <c r="FK85" s="7"/>
      <c r="FL85" s="7"/>
      <c r="FM85" s="7"/>
      <c r="FN85" s="7"/>
      <c r="FO85" s="7"/>
      <c r="FP85" s="7"/>
      <c r="FQ85" s="7"/>
      <c r="FR85" s="7"/>
      <c r="FS85" s="7"/>
      <c r="FT85" s="7"/>
      <c r="FU85" s="7"/>
      <c r="FV85" s="7"/>
      <c r="FW85" s="7"/>
      <c r="FX85" s="7"/>
      <c r="FY85" s="7"/>
      <c r="FZ85" s="7"/>
      <c r="GA85" s="7"/>
      <c r="GB85" s="7"/>
      <c r="GC85" s="7"/>
    </row>
    <row r="86" spans="1:185" ht="15.4" thickBot="1" x14ac:dyDescent="0.45">
      <c r="B86" s="6" t="s">
        <v>150</v>
      </c>
      <c r="C86" s="283">
        <v>5700</v>
      </c>
      <c r="D86" s="1" t="s">
        <v>151</v>
      </c>
      <c r="V86" s="49"/>
      <c r="AJ86" s="105"/>
      <c r="AK86" s="112"/>
      <c r="AM86" s="105"/>
      <c r="AN86" s="105"/>
      <c r="AP86" s="105"/>
      <c r="AQ86" s="105"/>
      <c r="AS86" s="105"/>
      <c r="AT86" s="108"/>
      <c r="AX86" s="40" t="s">
        <v>92</v>
      </c>
      <c r="AY86" s="127">
        <f>AZ68</f>
        <v>269.06757882212969</v>
      </c>
      <c r="AZ86" s="124">
        <f>AY68</f>
        <v>0.33700000000000002</v>
      </c>
      <c r="BA86" s="127">
        <f>$C$87</f>
        <v>136.80000000000001</v>
      </c>
      <c r="BB86" s="134">
        <f t="shared" ref="BB86:BB91" si="0">AY86*AZ86*BA86</f>
        <v>12404.445891826297</v>
      </c>
      <c r="BC86" s="122"/>
      <c r="BD86" s="132" t="s">
        <v>146</v>
      </c>
      <c r="BE86" s="237">
        <f>$BF$62*(1-$BF$59)</f>
        <v>0.12012</v>
      </c>
      <c r="BF86" s="134">
        <f>$C$66*2.5</f>
        <v>1036.3427873942633</v>
      </c>
      <c r="BG86" s="122">
        <v>0.33</v>
      </c>
      <c r="BH86" s="127">
        <f>$C$87</f>
        <v>136.80000000000001</v>
      </c>
      <c r="BI86" s="137">
        <f>(BE86)*BF86*BG86*BH86</f>
        <v>5619.77321435049</v>
      </c>
      <c r="BJ86" s="122"/>
      <c r="BK86" s="122"/>
      <c r="BL86" s="122"/>
      <c r="BM86" s="122"/>
    </row>
    <row r="87" spans="1:185" ht="15" x14ac:dyDescent="0.4">
      <c r="B87" s="6" t="s">
        <v>152</v>
      </c>
      <c r="C87" s="207">
        <f>C86*24/1000</f>
        <v>136.80000000000001</v>
      </c>
      <c r="D87" s="1" t="s">
        <v>153</v>
      </c>
      <c r="AJ87" s="105"/>
      <c r="AK87" s="112"/>
      <c r="AM87" s="105"/>
      <c r="AN87" s="105"/>
      <c r="AP87" s="105"/>
      <c r="AQ87" s="105"/>
      <c r="AS87" s="105"/>
      <c r="AT87" s="108"/>
      <c r="AX87" s="40" t="s">
        <v>93</v>
      </c>
      <c r="AY87" s="127">
        <f>AZ69</f>
        <v>73.616894705532417</v>
      </c>
      <c r="AZ87" s="124">
        <f>AY69</f>
        <v>0.33600000000000002</v>
      </c>
      <c r="BA87" s="127">
        <f>$BA$83*$C$87</f>
        <v>54.720000000000006</v>
      </c>
      <c r="BB87" s="134">
        <f t="shared" si="0"/>
        <v>1353.5143367043429</v>
      </c>
      <c r="BC87" s="122"/>
      <c r="BD87" s="132" t="s">
        <v>147</v>
      </c>
      <c r="BE87" s="135">
        <f>$BF$60</f>
        <v>0.218</v>
      </c>
      <c r="BF87" s="134">
        <f>$C$66*2.5</f>
        <v>1036.3427873942633</v>
      </c>
      <c r="BG87" s="122">
        <v>0.33</v>
      </c>
      <c r="BH87" s="127">
        <f>$C$87</f>
        <v>136.80000000000001</v>
      </c>
      <c r="BI87" s="137">
        <f>(BE87)*BF87*BG87*BH87</f>
        <v>10199.055617119606</v>
      </c>
      <c r="BJ87" s="122"/>
      <c r="BK87" s="122"/>
      <c r="BL87" s="122"/>
      <c r="BM87" s="122"/>
    </row>
    <row r="88" spans="1:185" ht="15.75" thickBot="1" x14ac:dyDescent="0.5">
      <c r="A88" s="179" t="s">
        <v>154</v>
      </c>
      <c r="B88" s="4"/>
      <c r="C88" s="4"/>
      <c r="D88" s="4"/>
      <c r="E88" s="4"/>
      <c r="F88" s="38"/>
      <c r="G88" s="4"/>
      <c r="H88" s="4"/>
      <c r="I88" s="4"/>
      <c r="J88" s="4"/>
      <c r="K88" s="4"/>
      <c r="L88" s="4"/>
      <c r="M88" s="4"/>
      <c r="N88" s="4"/>
      <c r="O88" s="4"/>
      <c r="P88" s="4"/>
      <c r="Q88" s="4"/>
      <c r="R88" s="4"/>
      <c r="S88" s="4"/>
      <c r="T88" s="4"/>
      <c r="U88" s="7"/>
      <c r="V88" s="10"/>
      <c r="AJ88" s="105"/>
      <c r="AK88" s="112"/>
      <c r="AM88" s="105"/>
      <c r="AN88" s="105"/>
      <c r="AP88" s="105"/>
      <c r="AQ88" s="105"/>
      <c r="AS88" s="105"/>
      <c r="AT88" s="108"/>
      <c r="AX88" s="40" t="s">
        <v>94</v>
      </c>
      <c r="AY88" s="127">
        <f>AZ70</f>
        <v>226.61362284354556</v>
      </c>
      <c r="AZ88" s="124">
        <f>AY70</f>
        <v>0.11534025374855825</v>
      </c>
      <c r="BA88" s="127">
        <f>$C$87</f>
        <v>136.80000000000001</v>
      </c>
      <c r="BB88" s="134">
        <f t="shared" si="0"/>
        <v>3575.6336337943526</v>
      </c>
      <c r="BC88" s="122"/>
      <c r="BD88" s="132" t="s">
        <v>155</v>
      </c>
      <c r="BE88" s="137">
        <f>BB92+SUM(BI86:BI87)</f>
        <v>44203.017125214479</v>
      </c>
      <c r="BF88" s="122" t="s">
        <v>145</v>
      </c>
      <c r="BG88" s="122"/>
      <c r="BH88" s="122"/>
      <c r="BI88" s="122"/>
      <c r="BJ88" s="122"/>
      <c r="BK88" s="122"/>
      <c r="BL88" s="122"/>
      <c r="BM88" s="122"/>
    </row>
    <row r="89" spans="1:185" ht="28.15" thickBot="1" x14ac:dyDescent="0.8">
      <c r="A89" s="74" t="s">
        <v>156</v>
      </c>
      <c r="B89" s="20" t="s">
        <v>157</v>
      </c>
      <c r="C89" s="86"/>
      <c r="F89" s="6"/>
      <c r="J89" s="74" t="s">
        <v>156</v>
      </c>
      <c r="K89" s="20" t="s">
        <v>158</v>
      </c>
      <c r="L89" s="86" t="s">
        <v>159</v>
      </c>
      <c r="O89" s="6"/>
      <c r="S89" s="12"/>
      <c r="T89" s="12"/>
      <c r="U89" s="12"/>
      <c r="V89" s="10"/>
      <c r="AJ89" s="105"/>
      <c r="AK89" s="112"/>
      <c r="AM89" s="105"/>
      <c r="AN89" s="105"/>
      <c r="AP89" s="105"/>
      <c r="AQ89" s="105"/>
      <c r="AS89" s="105"/>
      <c r="AT89" s="108"/>
      <c r="AX89" s="40" t="s">
        <v>95</v>
      </c>
      <c r="AY89" s="127">
        <f>AZ71</f>
        <v>226.61362284354556</v>
      </c>
      <c r="AZ89" s="124">
        <f>AY71</f>
        <v>0.51</v>
      </c>
      <c r="BA89" s="127">
        <f>$BA$83*$C$87</f>
        <v>54.720000000000006</v>
      </c>
      <c r="BB89" s="134">
        <f t="shared" si="0"/>
        <v>6324.1516954193949</v>
      </c>
      <c r="BC89" s="122"/>
      <c r="BD89" s="122"/>
      <c r="BE89" s="122"/>
      <c r="BF89" s="122"/>
      <c r="BG89" s="122"/>
      <c r="BH89" s="122"/>
      <c r="BI89" s="122"/>
      <c r="BJ89" s="122"/>
      <c r="BK89" s="122"/>
      <c r="BL89" s="122"/>
      <c r="BM89" s="122"/>
    </row>
    <row r="90" spans="1:185" ht="14.25" thickBot="1" x14ac:dyDescent="0.45">
      <c r="A90" s="70" t="s">
        <v>13</v>
      </c>
      <c r="B90" s="76" t="s">
        <v>160</v>
      </c>
      <c r="C90" s="208" t="s">
        <v>430</v>
      </c>
      <c r="D90" s="1" t="s">
        <v>161</v>
      </c>
      <c r="J90" s="70" t="s">
        <v>13</v>
      </c>
      <c r="K90" s="79" t="s">
        <v>160</v>
      </c>
      <c r="L90" s="208" t="s">
        <v>428</v>
      </c>
      <c r="M90" s="1" t="s">
        <v>161</v>
      </c>
      <c r="S90" s="190" t="s">
        <v>495</v>
      </c>
      <c r="V90" s="10"/>
      <c r="AJ90" s="105"/>
      <c r="AK90" s="112"/>
      <c r="AM90" s="105"/>
      <c r="AN90" s="105"/>
      <c r="AP90" s="105"/>
      <c r="AQ90" s="105"/>
      <c r="AS90" s="105"/>
      <c r="AT90" s="108"/>
      <c r="AX90" s="40" t="s">
        <v>162</v>
      </c>
      <c r="AY90" s="127">
        <f>AZ72</f>
        <v>5.9</v>
      </c>
      <c r="AZ90" s="124">
        <f>AY72</f>
        <v>0.56779999999999997</v>
      </c>
      <c r="BA90" s="127">
        <f>$C$87</f>
        <v>136.80000000000001</v>
      </c>
      <c r="BB90" s="134">
        <f t="shared" si="0"/>
        <v>458.28273600000006</v>
      </c>
      <c r="BC90" s="122"/>
      <c r="BD90" s="122"/>
      <c r="BE90" s="122"/>
      <c r="BF90" s="122"/>
      <c r="BG90" s="122"/>
      <c r="BH90" s="122"/>
      <c r="BI90" s="122"/>
      <c r="BJ90" s="122"/>
      <c r="BK90" s="122"/>
      <c r="BL90" s="122"/>
      <c r="BM90" s="122"/>
    </row>
    <row r="91" spans="1:185" x14ac:dyDescent="0.4">
      <c r="G91" s="190" t="s">
        <v>163</v>
      </c>
      <c r="H91" s="190" t="s">
        <v>164</v>
      </c>
      <c r="P91" s="190" t="s">
        <v>163</v>
      </c>
      <c r="Q91" s="190" t="s">
        <v>164</v>
      </c>
      <c r="S91" s="190" t="s">
        <v>69</v>
      </c>
      <c r="U91" s="3"/>
      <c r="V91" s="10"/>
      <c r="AJ91" s="105"/>
      <c r="AK91" s="112"/>
      <c r="AM91" s="105"/>
      <c r="AN91" s="105"/>
      <c r="AP91" s="105"/>
      <c r="AQ91" s="105"/>
      <c r="AS91" s="105"/>
      <c r="AT91" s="108"/>
      <c r="AX91" s="40" t="s">
        <v>166</v>
      </c>
      <c r="AY91" s="127">
        <f>SUM(BA77:BA80)</f>
        <v>19.5</v>
      </c>
      <c r="AZ91" s="124">
        <f>AVERAGE(AY77:AY80)</f>
        <v>1.6</v>
      </c>
      <c r="BA91" s="127">
        <f>$C$87</f>
        <v>136.80000000000001</v>
      </c>
      <c r="BB91" s="134">
        <f t="shared" si="0"/>
        <v>4268.1600000000008</v>
      </c>
      <c r="BC91" s="122"/>
      <c r="BD91" s="122"/>
      <c r="BE91" s="122"/>
      <c r="BF91" s="122"/>
      <c r="BG91" s="122"/>
      <c r="BH91" s="122"/>
      <c r="BI91" s="122"/>
      <c r="BJ91" s="122"/>
      <c r="BK91" s="122"/>
      <c r="BL91" s="122"/>
      <c r="BM91" s="122"/>
    </row>
    <row r="92" spans="1:185" ht="15.4" thickBot="1" x14ac:dyDescent="0.45">
      <c r="B92" s="78" t="s">
        <v>313</v>
      </c>
      <c r="C92" s="86" t="s">
        <v>167</v>
      </c>
      <c r="D92" s="1" t="s">
        <v>168</v>
      </c>
      <c r="G92" s="190" t="s">
        <v>169</v>
      </c>
      <c r="H92" s="190" t="s">
        <v>170</v>
      </c>
      <c r="K92" s="80" t="s">
        <v>313</v>
      </c>
      <c r="L92" s="86" t="s">
        <v>167</v>
      </c>
      <c r="M92" s="1" t="s">
        <v>168</v>
      </c>
      <c r="P92" s="190" t="s">
        <v>169</v>
      </c>
      <c r="Q92" s="190" t="s">
        <v>170</v>
      </c>
      <c r="S92" s="193">
        <f>tfa</f>
        <v>414.53711495770534</v>
      </c>
      <c r="T92" s="1" t="s">
        <v>68</v>
      </c>
      <c r="U92" s="3"/>
      <c r="V92" s="10"/>
      <c r="AJ92" s="105"/>
      <c r="AK92" s="112"/>
      <c r="AM92" s="105"/>
      <c r="AN92" s="105"/>
      <c r="AP92" s="105"/>
      <c r="AQ92" s="105"/>
      <c r="AS92" s="105"/>
      <c r="AT92" s="105"/>
      <c r="AX92" s="40"/>
      <c r="AY92" s="122"/>
      <c r="AZ92" s="122"/>
      <c r="BA92" s="122" t="s">
        <v>109</v>
      </c>
      <c r="BB92" s="137">
        <f>SUM(BB86:BB91)</f>
        <v>28384.188293744388</v>
      </c>
      <c r="BC92" s="122"/>
      <c r="BD92" s="122"/>
      <c r="BE92" s="122"/>
      <c r="BF92" s="122"/>
      <c r="BG92" s="122"/>
      <c r="BH92" s="122"/>
      <c r="BI92" s="122"/>
      <c r="BJ92" s="122"/>
      <c r="BK92" s="122"/>
      <c r="BL92" s="122"/>
      <c r="BM92" s="122"/>
    </row>
    <row r="93" spans="1:185" x14ac:dyDescent="0.4">
      <c r="A93" s="70" t="s">
        <v>13</v>
      </c>
      <c r="B93" s="76" t="s">
        <v>92</v>
      </c>
      <c r="C93" s="209" t="s">
        <v>400</v>
      </c>
      <c r="D93" s="210">
        <f>LOOKUP(C93,$AJ$72:$AJ$92,$AK$72:$AK$92)</f>
        <v>0.33700000000000002</v>
      </c>
      <c r="E93" s="14" t="s">
        <v>171</v>
      </c>
      <c r="G93" s="191">
        <f>5.678/D93</f>
        <v>16.848664688427299</v>
      </c>
      <c r="H93" s="218">
        <f>G93/5.678</f>
        <v>2.9673590504451037</v>
      </c>
      <c r="I93" s="2"/>
      <c r="J93" s="70" t="s">
        <v>13</v>
      </c>
      <c r="K93" s="79" t="s">
        <v>92</v>
      </c>
      <c r="L93" s="209" t="s">
        <v>417</v>
      </c>
      <c r="M93" s="210">
        <f>LOOKUP(L93,$AJ$72:$AJ$92,$AK$72:$AK$92)</f>
        <v>0.16200000000000001</v>
      </c>
      <c r="N93" s="14" t="s">
        <v>171</v>
      </c>
      <c r="P93" s="191">
        <f>5.678/M93</f>
        <v>35.049382716049379</v>
      </c>
      <c r="Q93" s="218">
        <f>P93/5.678</f>
        <v>6.1728395061728394</v>
      </c>
      <c r="R93" s="2"/>
      <c r="S93" s="272">
        <f>AZ68</f>
        <v>269.06757882212969</v>
      </c>
      <c r="T93" s="3"/>
      <c r="U93" s="3"/>
      <c r="V93" s="10"/>
      <c r="AJ93" s="111" t="s">
        <v>80</v>
      </c>
      <c r="AK93" s="105"/>
      <c r="AM93" s="105"/>
      <c r="AN93" s="105"/>
      <c r="AP93" s="105"/>
      <c r="AQ93" s="105"/>
      <c r="AS93" s="105"/>
      <c r="AT93" s="105"/>
      <c r="AX93" s="40"/>
      <c r="AY93" s="122"/>
      <c r="AZ93" s="122"/>
      <c r="BA93" s="122"/>
      <c r="BB93" s="122"/>
      <c r="BC93" s="122"/>
      <c r="BD93" s="122"/>
      <c r="BE93" s="122"/>
      <c r="BF93" s="122"/>
      <c r="BG93" s="122"/>
      <c r="BH93" s="122"/>
      <c r="BI93" s="122"/>
      <c r="BJ93" s="122"/>
      <c r="BK93" s="122"/>
      <c r="BL93" s="122"/>
      <c r="BM93" s="122"/>
    </row>
    <row r="94" spans="1:185" ht="15" x14ac:dyDescent="0.4">
      <c r="A94" s="70" t="s">
        <v>13</v>
      </c>
      <c r="B94" s="76" t="s">
        <v>93</v>
      </c>
      <c r="C94" s="211" t="s">
        <v>409</v>
      </c>
      <c r="D94" s="210">
        <f>LOOKUP(C94,$AM$72:$AM$92,$AN$72:$AN$92)</f>
        <v>0.33600000000000002</v>
      </c>
      <c r="E94" s="14" t="s">
        <v>171</v>
      </c>
      <c r="G94" s="191">
        <f>5.678/D94</f>
        <v>16.898809523809522</v>
      </c>
      <c r="H94" s="218">
        <f>G94/5.678</f>
        <v>2.9761904761904758</v>
      </c>
      <c r="I94" s="2"/>
      <c r="J94" s="70" t="s">
        <v>13</v>
      </c>
      <c r="K94" s="79" t="s">
        <v>93</v>
      </c>
      <c r="L94" s="211" t="s">
        <v>398</v>
      </c>
      <c r="M94" s="210">
        <f>LOOKUP(L94,$AM$72:$AM$92,$AN$72:$AN$92)</f>
        <v>0.192</v>
      </c>
      <c r="N94" s="14" t="s">
        <v>171</v>
      </c>
      <c r="P94" s="191">
        <f>5.678/M94</f>
        <v>29.572916666666664</v>
      </c>
      <c r="Q94" s="218">
        <f>P94/5.678</f>
        <v>5.208333333333333</v>
      </c>
      <c r="R94" s="2"/>
      <c r="S94" s="272">
        <f t="shared" ref="S94:S96" si="1">AZ69</f>
        <v>73.616894705532417</v>
      </c>
      <c r="T94" s="3"/>
      <c r="U94" s="3"/>
      <c r="AX94" s="50" t="s">
        <v>172</v>
      </c>
      <c r="AY94" s="122"/>
      <c r="AZ94" s="122"/>
      <c r="BA94" s="122"/>
      <c r="BB94" s="122"/>
      <c r="BC94" s="122"/>
      <c r="BD94" s="122"/>
      <c r="BE94" s="136" t="s">
        <v>173</v>
      </c>
      <c r="BF94" s="122"/>
      <c r="BG94" s="122"/>
      <c r="BH94" s="122"/>
      <c r="BI94" s="122"/>
      <c r="BJ94" s="122"/>
      <c r="BK94" s="122"/>
      <c r="BL94" s="122"/>
      <c r="BM94" s="122"/>
    </row>
    <row r="95" spans="1:185" x14ac:dyDescent="0.4">
      <c r="A95" s="70" t="s">
        <v>13</v>
      </c>
      <c r="B95" s="76" t="s">
        <v>94</v>
      </c>
      <c r="C95" s="211" t="s">
        <v>399</v>
      </c>
      <c r="D95" s="210">
        <f>LOOKUP(C95,$AP$72:$AP$92,$AQ$72:$AQ$92)</f>
        <v>0.11534025374855825</v>
      </c>
      <c r="E95" s="14" t="s">
        <v>171</v>
      </c>
      <c r="G95" s="191">
        <f>5.678/D95</f>
        <v>49.228259999999999</v>
      </c>
      <c r="H95" s="218">
        <f>G95/5.678</f>
        <v>8.67</v>
      </c>
      <c r="I95" s="2"/>
      <c r="J95" s="70" t="s">
        <v>13</v>
      </c>
      <c r="K95" s="79" t="s">
        <v>94</v>
      </c>
      <c r="L95" s="211" t="s">
        <v>111</v>
      </c>
      <c r="M95" s="210">
        <f>LOOKUP(L95,$AP$72:$AP$92,$AQ$72:$AQ$92)</f>
        <v>7.0974999999999996E-2</v>
      </c>
      <c r="N95" s="14" t="s">
        <v>171</v>
      </c>
      <c r="P95" s="191">
        <f>5.678/M95</f>
        <v>80</v>
      </c>
      <c r="Q95" s="218">
        <f>P95/5.678</f>
        <v>14.089468122578372</v>
      </c>
      <c r="R95" s="2"/>
      <c r="S95" s="272">
        <f t="shared" si="1"/>
        <v>226.61362284354556</v>
      </c>
      <c r="T95" s="3"/>
      <c r="U95" s="3"/>
      <c r="V95" s="10"/>
      <c r="AJ95" s="111" t="s">
        <v>135</v>
      </c>
      <c r="AK95" s="111" t="s">
        <v>82</v>
      </c>
      <c r="AL95" s="111" t="s">
        <v>119</v>
      </c>
      <c r="AN95" s="111" t="s">
        <v>136</v>
      </c>
      <c r="AO95" s="111" t="s">
        <v>82</v>
      </c>
      <c r="AX95" s="46" t="s">
        <v>117</v>
      </c>
      <c r="AY95" s="45" t="s">
        <v>177</v>
      </c>
      <c r="AZ95" s="45" t="s">
        <v>119</v>
      </c>
      <c r="BA95" s="45" t="s">
        <v>120</v>
      </c>
      <c r="BB95" s="45" t="s">
        <v>178</v>
      </c>
      <c r="BC95" s="132" t="s">
        <v>145</v>
      </c>
      <c r="BD95" s="122"/>
      <c r="BE95" s="132" t="s">
        <v>179</v>
      </c>
      <c r="BF95" s="132" t="s">
        <v>180</v>
      </c>
      <c r="BG95" s="132" t="s">
        <v>181</v>
      </c>
      <c r="BH95" s="132" t="s">
        <v>145</v>
      </c>
      <c r="BI95" s="122"/>
      <c r="BJ95" s="122"/>
      <c r="BK95" s="122"/>
      <c r="BL95" s="122"/>
      <c r="BM95" s="122"/>
    </row>
    <row r="96" spans="1:185" ht="14.25" thickBot="1" x14ac:dyDescent="0.45">
      <c r="A96" s="70" t="s">
        <v>13</v>
      </c>
      <c r="B96" s="76" t="s">
        <v>95</v>
      </c>
      <c r="C96" s="212" t="s">
        <v>410</v>
      </c>
      <c r="D96" s="210">
        <f>LOOKUP(C96,$AS$72:$AS$92,$AT$72:$AT$92)</f>
        <v>0.51</v>
      </c>
      <c r="E96" s="14" t="s">
        <v>171</v>
      </c>
      <c r="G96" s="191">
        <f>5.678/D96</f>
        <v>11.133333333333333</v>
      </c>
      <c r="H96" s="218">
        <f>G96/5.678</f>
        <v>1.9607843137254901</v>
      </c>
      <c r="I96" s="2"/>
      <c r="J96" s="70" t="s">
        <v>13</v>
      </c>
      <c r="K96" s="79" t="s">
        <v>95</v>
      </c>
      <c r="L96" s="212" t="s">
        <v>413</v>
      </c>
      <c r="M96" s="210">
        <f>LOOKUP(L96,$AS$72:$AS$92,$AT$72:$AT$92)</f>
        <v>0.22700000000000001</v>
      </c>
      <c r="N96" s="14" t="s">
        <v>171</v>
      </c>
      <c r="P96" s="191">
        <f>5.678/M96</f>
        <v>25.013215859030836</v>
      </c>
      <c r="Q96" s="218">
        <f>P96/5.678</f>
        <v>4.4052863436123344</v>
      </c>
      <c r="R96" s="2"/>
      <c r="S96" s="272">
        <f t="shared" si="1"/>
        <v>226.61362284354556</v>
      </c>
      <c r="T96" s="3"/>
      <c r="U96" s="3"/>
      <c r="AJ96" s="105" t="s">
        <v>139</v>
      </c>
      <c r="AK96" s="106">
        <v>5.8</v>
      </c>
      <c r="AL96" s="113">
        <v>0.8</v>
      </c>
      <c r="AN96" s="105" t="s">
        <v>140</v>
      </c>
      <c r="AO96" s="114">
        <v>5.8819999999999997</v>
      </c>
      <c r="AX96" s="40" t="s">
        <v>116</v>
      </c>
      <c r="AY96" s="125">
        <f>75%*95%*85%*75%</f>
        <v>0.45421874999999989</v>
      </c>
      <c r="AZ96" s="124">
        <f t="shared" ref="AZ96:BA99" si="2">AZ77</f>
        <v>0.4</v>
      </c>
      <c r="BA96" s="127">
        <f t="shared" si="2"/>
        <v>5.57</v>
      </c>
      <c r="BB96" s="122">
        <v>133</v>
      </c>
      <c r="BC96" s="134">
        <f>AY96*AZ96*BA96*BB96</f>
        <v>134.59591687499997</v>
      </c>
      <c r="BD96" s="122"/>
      <c r="BE96" s="122">
        <v>215</v>
      </c>
      <c r="BF96" s="122">
        <v>2.5</v>
      </c>
      <c r="BG96" s="127">
        <f>tfa</f>
        <v>414.53711495770534</v>
      </c>
      <c r="BH96" s="138">
        <f>0.024*BE96*BF96*BG96</f>
        <v>5347.5287829543995</v>
      </c>
      <c r="BI96" s="122"/>
      <c r="BJ96" s="122"/>
      <c r="BK96" s="122"/>
      <c r="BL96" s="122"/>
      <c r="BM96" s="122"/>
    </row>
    <row r="97" spans="1:65" x14ac:dyDescent="0.4">
      <c r="C97" s="13"/>
      <c r="D97" s="8"/>
      <c r="G97" s="192"/>
      <c r="H97" s="193"/>
      <c r="I97" s="2"/>
      <c r="L97" s="13"/>
      <c r="M97" s="8"/>
      <c r="P97" s="192"/>
      <c r="Q97" s="193"/>
      <c r="R97" s="2"/>
      <c r="S97" s="272"/>
      <c r="AJ97" s="105" t="s">
        <v>142</v>
      </c>
      <c r="AK97" s="106">
        <v>2.9</v>
      </c>
      <c r="AL97" s="113">
        <v>0.7</v>
      </c>
      <c r="AM97" s="15"/>
      <c r="AN97" s="113" t="s">
        <v>143</v>
      </c>
      <c r="AO97" s="115">
        <f>5.678/10</f>
        <v>0.56779999999999997</v>
      </c>
      <c r="AX97" s="40" t="s">
        <v>128</v>
      </c>
      <c r="AY97" s="125">
        <f>75%*95%*85%*75%</f>
        <v>0.45421874999999989</v>
      </c>
      <c r="AZ97" s="124">
        <f t="shared" si="2"/>
        <v>0.4</v>
      </c>
      <c r="BA97" s="127">
        <f t="shared" si="2"/>
        <v>1.1100000000000001</v>
      </c>
      <c r="BB97" s="122">
        <v>374</v>
      </c>
      <c r="BC97" s="134">
        <f>AY97*AZ97*BA97*BB97</f>
        <v>75.425748749999997</v>
      </c>
      <c r="BD97" s="122"/>
      <c r="BE97" s="122"/>
      <c r="BF97" s="122"/>
      <c r="BG97" s="122"/>
      <c r="BH97" s="122"/>
      <c r="BI97" s="122"/>
      <c r="BJ97" s="122"/>
      <c r="BK97" s="122"/>
      <c r="BL97" s="122"/>
      <c r="BM97" s="122"/>
    </row>
    <row r="98" spans="1:65" ht="15.4" thickBot="1" x14ac:dyDescent="0.45">
      <c r="D98" s="1" t="s">
        <v>168</v>
      </c>
      <c r="G98" s="192"/>
      <c r="H98" s="193"/>
      <c r="I98" s="2"/>
      <c r="M98" s="1" t="s">
        <v>168</v>
      </c>
      <c r="P98" s="192"/>
      <c r="Q98" s="193"/>
      <c r="R98" s="2"/>
      <c r="S98" s="272"/>
      <c r="T98" s="3"/>
      <c r="U98" s="3"/>
      <c r="AJ98" s="105" t="s">
        <v>406</v>
      </c>
      <c r="AK98" s="105">
        <v>1.6</v>
      </c>
      <c r="AL98" s="116">
        <v>0.4</v>
      </c>
      <c r="AM98" s="15"/>
      <c r="AO98" s="16"/>
      <c r="AX98" s="40" t="s">
        <v>191</v>
      </c>
      <c r="AY98" s="125">
        <f>75%*95%*85%*75%</f>
        <v>0.45421874999999989</v>
      </c>
      <c r="AZ98" s="124">
        <f t="shared" si="2"/>
        <v>0.4</v>
      </c>
      <c r="BA98" s="127">
        <f t="shared" si="2"/>
        <v>9.1999999999999993</v>
      </c>
      <c r="BB98" s="122">
        <v>790</v>
      </c>
      <c r="BC98" s="134">
        <f>AY98*AZ98*BA98*BB98</f>
        <v>1320.5047499999998</v>
      </c>
      <c r="BD98" s="122"/>
      <c r="BE98" s="132" t="s">
        <v>192</v>
      </c>
      <c r="BF98" s="137">
        <f>BC100+BH96</f>
        <v>7129.2999410793991</v>
      </c>
      <c r="BG98" s="122" t="s">
        <v>145</v>
      </c>
      <c r="BH98" s="122"/>
      <c r="BI98" s="122"/>
      <c r="BJ98" s="122"/>
      <c r="BK98" s="122"/>
      <c r="BL98" s="122"/>
      <c r="BM98" s="122"/>
    </row>
    <row r="99" spans="1:65" ht="14.25" thickBot="1" x14ac:dyDescent="0.45">
      <c r="A99" s="70" t="s">
        <v>13</v>
      </c>
      <c r="B99" s="76" t="s">
        <v>166</v>
      </c>
      <c r="C99" s="213" t="s">
        <v>406</v>
      </c>
      <c r="D99" s="210">
        <f>LOOKUP(C99,$AJ$96:$AJ$114,$AK$96:$AK$114)</f>
        <v>1.6</v>
      </c>
      <c r="E99" s="14" t="s">
        <v>171</v>
      </c>
      <c r="G99" s="191">
        <f>5.678/D99</f>
        <v>3.5487499999999996</v>
      </c>
      <c r="H99" s="218">
        <f>G99/5.678</f>
        <v>0.62499999999999989</v>
      </c>
      <c r="I99" s="2"/>
      <c r="J99" s="70" t="s">
        <v>13</v>
      </c>
      <c r="K99" s="79" t="s">
        <v>166</v>
      </c>
      <c r="L99" s="213" t="s">
        <v>403</v>
      </c>
      <c r="M99" s="210">
        <f>LOOKUP(L99,$AJ$96:$AJ$114,$AK$96:$AK$114)</f>
        <v>1</v>
      </c>
      <c r="N99" s="14" t="s">
        <v>171</v>
      </c>
      <c r="P99" s="191">
        <f>5.678/M99</f>
        <v>5.6779999999999999</v>
      </c>
      <c r="Q99" s="218">
        <f>P99/5.678</f>
        <v>1</v>
      </c>
      <c r="R99" s="2"/>
      <c r="S99" s="272">
        <f>AY91+AY90</f>
        <v>25.4</v>
      </c>
      <c r="AJ99" s="105" t="s">
        <v>407</v>
      </c>
      <c r="AK99" s="106">
        <v>1.5</v>
      </c>
      <c r="AL99" s="113">
        <v>0.5</v>
      </c>
      <c r="AM99" s="15"/>
      <c r="AO99" s="16"/>
      <c r="AX99" s="40" t="s">
        <v>131</v>
      </c>
      <c r="AY99" s="125">
        <f>75%*95%*85%*75%</f>
        <v>0.45421874999999989</v>
      </c>
      <c r="AZ99" s="124">
        <f t="shared" si="2"/>
        <v>0.4</v>
      </c>
      <c r="BA99" s="127">
        <f t="shared" si="2"/>
        <v>3.62</v>
      </c>
      <c r="BB99" s="122">
        <v>382</v>
      </c>
      <c r="BC99" s="134">
        <f>AY99*AZ99*BA99*BB99</f>
        <v>251.24474249999997</v>
      </c>
      <c r="BD99" s="122"/>
      <c r="BE99" s="139" t="s">
        <v>194</v>
      </c>
      <c r="BF99" s="140">
        <v>0.85</v>
      </c>
      <c r="BG99" s="122"/>
      <c r="BH99" s="122"/>
      <c r="BI99" s="122"/>
      <c r="BJ99" s="122"/>
      <c r="BK99" s="122"/>
      <c r="BL99" s="122"/>
      <c r="BM99" s="122"/>
    </row>
    <row r="100" spans="1:65" ht="15.4" thickBot="1" x14ac:dyDescent="0.45">
      <c r="B100" s="76"/>
      <c r="C100" s="77" t="s">
        <v>195</v>
      </c>
      <c r="D100" s="214">
        <f>LOOKUP(C99,$AJ$96:$AJ$114,$AL$96:$AL$114)</f>
        <v>0.4</v>
      </c>
      <c r="E100" s="1" t="s">
        <v>196</v>
      </c>
      <c r="G100" s="82"/>
      <c r="H100" s="82"/>
      <c r="K100" s="79"/>
      <c r="L100" s="81" t="s">
        <v>195</v>
      </c>
      <c r="M100" s="214">
        <f>LOOKUP(L99,$AJ$96:$AJ$114,$AL$96:$AL$114)</f>
        <v>0.37</v>
      </c>
      <c r="N100" s="1" t="s">
        <v>196</v>
      </c>
      <c r="P100" s="82"/>
      <c r="Q100" s="82"/>
      <c r="S100" s="193"/>
      <c r="AJ100" s="105" t="s">
        <v>402</v>
      </c>
      <c r="AK100" s="106">
        <v>1.2</v>
      </c>
      <c r="AL100" s="113">
        <v>0.5</v>
      </c>
      <c r="AM100" s="15"/>
      <c r="AO100" s="16"/>
      <c r="AX100" s="40"/>
      <c r="AY100" s="122"/>
      <c r="AZ100" s="122"/>
      <c r="BA100" s="122"/>
      <c r="BB100" s="122" t="s">
        <v>109</v>
      </c>
      <c r="BC100" s="137">
        <f>SUM(BC96:BC99)</f>
        <v>1781.7711581249998</v>
      </c>
      <c r="BD100" s="122"/>
      <c r="BE100" s="122"/>
      <c r="BF100" s="122"/>
      <c r="BG100" s="122"/>
      <c r="BH100" s="122"/>
      <c r="BI100" s="122"/>
      <c r="BJ100" s="122"/>
      <c r="BK100" s="122"/>
      <c r="BL100" s="122"/>
      <c r="BM100" s="122"/>
    </row>
    <row r="101" spans="1:65" ht="14.25" thickBot="1" x14ac:dyDescent="0.45">
      <c r="A101" s="70" t="s">
        <v>13</v>
      </c>
      <c r="B101" s="76" t="s">
        <v>198</v>
      </c>
      <c r="C101" s="213" t="s">
        <v>143</v>
      </c>
      <c r="D101" s="210">
        <f>LOOKUP(C101,$AN$96:$AN$97,$AO$96:$AO$97)</f>
        <v>0.56779999999999997</v>
      </c>
      <c r="E101" s="14" t="s">
        <v>171</v>
      </c>
      <c r="G101" s="191">
        <f>5.678/D101</f>
        <v>10</v>
      </c>
      <c r="H101" s="218">
        <f>G101/5.678</f>
        <v>1.7611835153222966</v>
      </c>
      <c r="I101" s="2"/>
      <c r="J101" s="70" t="s">
        <v>13</v>
      </c>
      <c r="K101" s="79" t="s">
        <v>198</v>
      </c>
      <c r="L101" s="213" t="s">
        <v>143</v>
      </c>
      <c r="M101" s="210">
        <f>LOOKUP(L101,$AN$96:$AN$97,$AO$96:$AO$97)</f>
        <v>0.56779999999999997</v>
      </c>
      <c r="N101" s="14" t="s">
        <v>171</v>
      </c>
      <c r="P101" s="191">
        <f>5.678/M101</f>
        <v>10</v>
      </c>
      <c r="Q101" s="218">
        <f>P101/5.678</f>
        <v>1.7611835153222966</v>
      </c>
      <c r="R101" s="274" t="s">
        <v>496</v>
      </c>
      <c r="S101" s="272">
        <f>(length+width)*2</f>
        <v>60.365853658536594</v>
      </c>
      <c r="T101" s="273" t="s">
        <v>55</v>
      </c>
      <c r="AJ101" s="105" t="s">
        <v>408</v>
      </c>
      <c r="AK101" s="106">
        <v>1</v>
      </c>
      <c r="AL101" s="113">
        <v>0.5</v>
      </c>
      <c r="AX101" s="40"/>
      <c r="AY101" s="122"/>
      <c r="AZ101" s="122"/>
      <c r="BA101" s="122"/>
      <c r="BB101" s="122"/>
      <c r="BC101" s="122"/>
      <c r="BD101" s="122"/>
      <c r="BE101" s="122"/>
      <c r="BF101" s="122"/>
      <c r="BG101" s="122"/>
      <c r="BH101" s="122"/>
      <c r="BI101" s="122"/>
      <c r="BJ101" s="122"/>
      <c r="BK101" s="122"/>
      <c r="BL101" s="122"/>
      <c r="BM101" s="122"/>
    </row>
    <row r="102" spans="1:65" ht="15" x14ac:dyDescent="0.4">
      <c r="A102" s="70"/>
      <c r="C102" s="16"/>
      <c r="D102" s="8"/>
      <c r="E102" s="14"/>
      <c r="G102" s="192"/>
      <c r="H102" s="193"/>
      <c r="I102" s="2"/>
      <c r="J102" s="70"/>
      <c r="L102" s="16"/>
      <c r="M102" s="8"/>
      <c r="N102" s="14"/>
      <c r="P102" s="192"/>
      <c r="Q102" s="193"/>
      <c r="R102" s="2"/>
      <c r="AJ102" s="105" t="s">
        <v>403</v>
      </c>
      <c r="AK102" s="106">
        <v>1</v>
      </c>
      <c r="AL102" s="113">
        <v>0.37</v>
      </c>
      <c r="AX102" s="50" t="s">
        <v>199</v>
      </c>
      <c r="AY102" s="137">
        <f>BE88-(BF98*BF99)</f>
        <v>38143.112175296992</v>
      </c>
      <c r="AZ102" s="136" t="s">
        <v>145</v>
      </c>
      <c r="BA102" s="122"/>
      <c r="BB102" s="122"/>
      <c r="BC102" s="122"/>
      <c r="BD102" s="122"/>
      <c r="BE102" s="122"/>
      <c r="BF102" s="122"/>
      <c r="BG102" s="122"/>
      <c r="BH102" s="122"/>
      <c r="BI102" s="122"/>
      <c r="BJ102" s="122"/>
      <c r="BK102" s="122"/>
      <c r="BL102" s="122"/>
      <c r="BM102" s="122"/>
    </row>
    <row r="103" spans="1:65" ht="17.649999999999999" x14ac:dyDescent="0.5">
      <c r="A103" s="70"/>
      <c r="B103" s="18" t="s">
        <v>200</v>
      </c>
      <c r="C103" s="16"/>
      <c r="D103" s="225" t="s">
        <v>438</v>
      </c>
      <c r="E103" s="14"/>
      <c r="G103" s="192"/>
      <c r="H103" s="193"/>
      <c r="I103" s="2"/>
      <c r="J103" s="70"/>
      <c r="K103" s="18" t="s">
        <v>201</v>
      </c>
      <c r="L103" s="16"/>
      <c r="M103" s="8"/>
      <c r="N103" s="14"/>
      <c r="P103" s="192"/>
      <c r="Q103" s="193"/>
      <c r="AJ103" s="105" t="s">
        <v>404</v>
      </c>
      <c r="AK103" s="108">
        <v>0.85</v>
      </c>
      <c r="AL103" s="113">
        <v>0.5</v>
      </c>
      <c r="AP103" s="15"/>
      <c r="AQ103" s="15"/>
      <c r="AX103" s="50" t="s">
        <v>202</v>
      </c>
      <c r="AY103" s="137">
        <f>AY102/tfa</f>
        <v>92.013744485071456</v>
      </c>
      <c r="AZ103" s="136" t="s">
        <v>203</v>
      </c>
      <c r="BA103" s="122"/>
      <c r="BB103" s="122"/>
      <c r="BC103" s="122"/>
      <c r="BD103" s="122"/>
      <c r="BE103" s="122"/>
      <c r="BF103" s="122"/>
      <c r="BG103" s="122"/>
      <c r="BH103" s="122"/>
      <c r="BI103" s="122"/>
      <c r="BJ103" s="122"/>
      <c r="BK103" s="122"/>
      <c r="BL103" s="122"/>
      <c r="BM103" s="122"/>
    </row>
    <row r="104" spans="1:65" ht="15.4" customHeight="1" x14ac:dyDescent="0.4">
      <c r="A104" s="70"/>
      <c r="C104" s="16"/>
      <c r="D104" s="8"/>
      <c r="E104" s="14"/>
      <c r="G104" s="192"/>
      <c r="H104" s="193"/>
      <c r="I104" s="2"/>
      <c r="J104" s="70"/>
      <c r="L104" s="16"/>
      <c r="M104" s="8"/>
      <c r="N104" s="14"/>
      <c r="P104" s="192"/>
      <c r="Q104" s="193"/>
      <c r="AJ104" s="105" t="s">
        <v>405</v>
      </c>
      <c r="AK104" s="108">
        <f>0.65</f>
        <v>0.65</v>
      </c>
      <c r="AL104" s="113">
        <v>0.5</v>
      </c>
      <c r="AP104" s="15"/>
      <c r="AQ104" s="15"/>
      <c r="AX104" s="22"/>
    </row>
    <row r="105" spans="1:65" ht="15.4" customHeight="1" x14ac:dyDescent="0.4">
      <c r="A105" s="70"/>
      <c r="C105" s="16"/>
      <c r="D105" s="8"/>
      <c r="E105" s="14"/>
      <c r="G105" s="192"/>
      <c r="H105" s="193"/>
      <c r="I105" s="2"/>
      <c r="J105" s="70"/>
      <c r="L105" s="16"/>
      <c r="M105" s="8"/>
      <c r="N105" s="14"/>
      <c r="P105" s="192"/>
      <c r="Q105" s="193"/>
      <c r="R105" s="2"/>
      <c r="AJ105" s="105"/>
      <c r="AK105" s="108"/>
      <c r="AL105" s="113"/>
      <c r="AP105" s="15"/>
      <c r="AQ105" s="15"/>
    </row>
    <row r="106" spans="1:65" ht="15.4" customHeight="1" x14ac:dyDescent="0.55000000000000004">
      <c r="A106" s="70"/>
      <c r="C106" s="16"/>
      <c r="D106" s="8"/>
      <c r="E106" s="14"/>
      <c r="G106" s="192"/>
      <c r="H106" s="193"/>
      <c r="I106" s="2"/>
      <c r="J106" s="70"/>
      <c r="L106" s="16"/>
      <c r="M106" s="8"/>
      <c r="N106" s="14"/>
      <c r="P106" s="192"/>
      <c r="Q106" s="193"/>
      <c r="R106" s="2"/>
      <c r="AJ106" s="105"/>
      <c r="AK106" s="108"/>
      <c r="AL106" s="113"/>
      <c r="AP106" s="15"/>
      <c r="AQ106" s="15"/>
      <c r="AX106" s="104" t="s">
        <v>209</v>
      </c>
      <c r="AY106" s="141"/>
      <c r="AZ106" s="141"/>
      <c r="BA106" s="141"/>
      <c r="BB106" s="141"/>
      <c r="BC106" s="141"/>
      <c r="BD106" s="141"/>
      <c r="BE106" s="141"/>
      <c r="BF106" s="141"/>
      <c r="BG106" s="141"/>
      <c r="BH106" s="141"/>
      <c r="BI106" s="141"/>
      <c r="BJ106" s="141"/>
      <c r="BK106" s="141"/>
      <c r="BL106" s="141"/>
      <c r="BM106" s="141"/>
    </row>
    <row r="107" spans="1:65" ht="15.4" customHeight="1" x14ac:dyDescent="0.4">
      <c r="A107" s="70"/>
      <c r="D107" s="189" t="s">
        <v>210</v>
      </c>
      <c r="E107" s="197" t="s">
        <v>211</v>
      </c>
      <c r="M107" s="189" t="s">
        <v>210</v>
      </c>
      <c r="N107" s="197" t="s">
        <v>211</v>
      </c>
      <c r="P107" s="192"/>
      <c r="Q107" s="193"/>
      <c r="R107" s="2"/>
      <c r="AJ107" s="105"/>
      <c r="AK107" s="108"/>
      <c r="AL107" s="113"/>
      <c r="AP107" s="15"/>
      <c r="AQ107" s="15"/>
      <c r="AX107" s="52" t="s">
        <v>34</v>
      </c>
      <c r="AY107" s="141"/>
      <c r="AZ107" s="141"/>
      <c r="BA107" s="141"/>
      <c r="BB107" s="141"/>
      <c r="BC107" s="141"/>
      <c r="BD107" s="141"/>
      <c r="BE107" s="141"/>
      <c r="BF107" s="141"/>
      <c r="BG107" s="141"/>
      <c r="BH107" s="141"/>
      <c r="BI107" s="141"/>
      <c r="BJ107" s="141"/>
      <c r="BK107" s="141"/>
      <c r="BL107" s="141"/>
      <c r="BM107" s="141"/>
    </row>
    <row r="108" spans="1:65" ht="15.4" customHeight="1" x14ac:dyDescent="0.4">
      <c r="A108" s="70"/>
      <c r="C108" s="1" t="s">
        <v>202</v>
      </c>
      <c r="E108" s="194">
        <f>SUM(D111:D117)-SUM(E109:E110)</f>
        <v>92.013744485071484</v>
      </c>
      <c r="L108" s="1" t="s">
        <v>202</v>
      </c>
      <c r="N108" s="194">
        <f>SUM(M111:M117)-SUM(N109:N110)</f>
        <v>36.448797138271374</v>
      </c>
      <c r="P108" s="192"/>
      <c r="Q108" s="193"/>
      <c r="R108" s="2"/>
      <c r="AJ108" s="105"/>
      <c r="AK108" s="108"/>
      <c r="AL108" s="113"/>
      <c r="AP108" s="15"/>
      <c r="AQ108" s="15"/>
      <c r="AX108" s="54" t="s">
        <v>36</v>
      </c>
      <c r="AY108" s="141">
        <v>20</v>
      </c>
      <c r="AZ108" s="141" t="s">
        <v>37</v>
      </c>
      <c r="BA108" s="142" t="s">
        <v>38</v>
      </c>
      <c r="BB108" s="141">
        <f>AY108-AY111</f>
        <v>60</v>
      </c>
      <c r="BC108" s="141" t="s">
        <v>37</v>
      </c>
      <c r="BD108" s="141"/>
      <c r="BE108" s="142" t="s">
        <v>39</v>
      </c>
      <c r="BF108" s="143">
        <f>1/0.87</f>
        <v>1.1494252873563218</v>
      </c>
      <c r="BG108" s="142" t="s">
        <v>40</v>
      </c>
      <c r="BH108" s="141"/>
      <c r="BI108" s="141"/>
      <c r="BJ108" s="141"/>
      <c r="BK108" s="141"/>
      <c r="BL108" s="141"/>
      <c r="BM108" s="141"/>
    </row>
    <row r="109" spans="1:65" ht="15.4" customHeight="1" x14ac:dyDescent="0.4">
      <c r="A109" s="70"/>
      <c r="C109" s="1" t="s">
        <v>173</v>
      </c>
      <c r="E109" s="3">
        <f>BH96*BF99/tfa</f>
        <v>10.965</v>
      </c>
      <c r="L109" s="1" t="s">
        <v>173</v>
      </c>
      <c r="N109" s="3">
        <f>BH146*BF149/tfa</f>
        <v>10.965</v>
      </c>
      <c r="P109" s="192"/>
      <c r="Q109" s="193"/>
      <c r="R109" s="2"/>
      <c r="AJ109" s="105"/>
      <c r="AK109" s="108"/>
      <c r="AL109" s="113"/>
      <c r="AP109" s="15"/>
      <c r="AQ109" s="15"/>
      <c r="AX109" s="54" t="s">
        <v>44</v>
      </c>
      <c r="AY109" s="141">
        <v>25</v>
      </c>
      <c r="AZ109" s="142" t="s">
        <v>37</v>
      </c>
      <c r="BA109" s="142" t="s">
        <v>45</v>
      </c>
      <c r="BB109" s="141">
        <f>AY112-AY109</f>
        <v>5</v>
      </c>
      <c r="BC109" s="141" t="s">
        <v>37</v>
      </c>
      <c r="BD109" s="141"/>
      <c r="BE109" s="142" t="s">
        <v>46</v>
      </c>
      <c r="BF109" s="144">
        <f>M127</f>
        <v>0.85</v>
      </c>
      <c r="BG109" s="141"/>
      <c r="BH109" s="142"/>
      <c r="BI109" s="141" t="s">
        <v>47</v>
      </c>
      <c r="BJ109" s="141"/>
      <c r="BK109" s="141"/>
      <c r="BL109" s="141"/>
      <c r="BM109" s="141"/>
    </row>
    <row r="110" spans="1:65" x14ac:dyDescent="0.4">
      <c r="A110" s="70"/>
      <c r="C110" s="1" t="s">
        <v>172</v>
      </c>
      <c r="E110" s="3">
        <f>BC100*BF99/tfa</f>
        <v>3.6534858514677815</v>
      </c>
      <c r="L110" s="1" t="s">
        <v>172</v>
      </c>
      <c r="N110" s="3">
        <f>BC150*BF149/tfa</f>
        <v>3.3794744126076974</v>
      </c>
      <c r="P110" s="192"/>
      <c r="Q110" s="193"/>
      <c r="R110" s="2"/>
      <c r="AJ110" s="105"/>
      <c r="AK110" s="108"/>
      <c r="AL110" s="113"/>
      <c r="AP110" s="15"/>
      <c r="AQ110" s="15"/>
      <c r="AX110" s="54" t="s">
        <v>48</v>
      </c>
      <c r="AY110" s="141">
        <v>5</v>
      </c>
      <c r="AZ110" s="141" t="s">
        <v>37</v>
      </c>
      <c r="BA110" s="142" t="s">
        <v>49</v>
      </c>
      <c r="BB110" s="142">
        <v>50</v>
      </c>
      <c r="BC110" s="142" t="s">
        <v>50</v>
      </c>
      <c r="BD110" s="141"/>
      <c r="BE110" s="142" t="s">
        <v>51</v>
      </c>
      <c r="BF110" s="145">
        <f>LOOKUP($L$90,$AN$60:$AN$68,$AO$60:$AO$68)</f>
        <v>8.7012464046021101E-2</v>
      </c>
      <c r="BG110" s="143" t="s">
        <v>52</v>
      </c>
      <c r="BH110" s="142"/>
      <c r="BI110" s="146">
        <f>volume*BF110</f>
        <v>120.23298603666215</v>
      </c>
      <c r="BJ110" s="141" t="s">
        <v>53</v>
      </c>
      <c r="BK110" s="141"/>
      <c r="BL110" s="142"/>
      <c r="BM110" s="141"/>
    </row>
    <row r="111" spans="1:65" x14ac:dyDescent="0.4">
      <c r="A111" s="70"/>
      <c r="C111" s="22" t="s">
        <v>146</v>
      </c>
      <c r="D111" s="24">
        <f>BI86/tfa</f>
        <v>13.5567432</v>
      </c>
      <c r="E111" s="24"/>
      <c r="F111" s="24"/>
      <c r="G111" s="24"/>
      <c r="L111" s="22" t="s">
        <v>146</v>
      </c>
      <c r="M111" s="24">
        <f>BI136/tfa</f>
        <v>5.0837787000000008</v>
      </c>
      <c r="N111" s="14"/>
      <c r="P111" s="192"/>
      <c r="Q111" s="193"/>
      <c r="R111" s="2"/>
      <c r="AJ111" s="105"/>
      <c r="AK111" s="108"/>
      <c r="AL111" s="113"/>
      <c r="AP111" s="15"/>
      <c r="AQ111" s="15"/>
      <c r="AX111" s="54" t="s">
        <v>56</v>
      </c>
      <c r="AY111" s="141">
        <v>-40</v>
      </c>
      <c r="AZ111" s="141" t="s">
        <v>37</v>
      </c>
      <c r="BA111" s="142" t="s">
        <v>57</v>
      </c>
      <c r="BB111" s="142">
        <v>61</v>
      </c>
      <c r="BC111" s="142" t="s">
        <v>50</v>
      </c>
      <c r="BD111" s="141"/>
      <c r="BE111" s="142" t="s">
        <v>58</v>
      </c>
      <c r="BF111" s="145">
        <f>LOOKUP($L$90,$AN$60:$AN$68,$AP$60:$AP$68)</f>
        <v>0.21753116011505275</v>
      </c>
      <c r="BG111" s="143" t="s">
        <v>52</v>
      </c>
      <c r="BH111" s="147"/>
      <c r="BI111" s="146">
        <f>volume*BF111</f>
        <v>300.58246509165537</v>
      </c>
      <c r="BJ111" s="141" t="s">
        <v>53</v>
      </c>
      <c r="BK111" s="141"/>
      <c r="BL111" s="142"/>
      <c r="BM111" s="141"/>
    </row>
    <row r="112" spans="1:65" x14ac:dyDescent="0.4">
      <c r="A112" s="70"/>
      <c r="C112" s="22" t="s">
        <v>147</v>
      </c>
      <c r="D112" s="24">
        <f>BI87/tfa</f>
        <v>24.603480000000005</v>
      </c>
      <c r="E112" s="24"/>
      <c r="F112" s="24"/>
      <c r="G112" s="24"/>
      <c r="L112" s="22" t="s">
        <v>147</v>
      </c>
      <c r="M112" s="24">
        <f>BI137/tfa</f>
        <v>9.820226692233943</v>
      </c>
      <c r="N112" s="14"/>
      <c r="P112" s="192"/>
      <c r="Q112" s="193"/>
      <c r="R112" s="2"/>
      <c r="AJ112" s="105"/>
      <c r="AK112" s="108"/>
      <c r="AL112" s="113"/>
      <c r="AP112" s="15"/>
      <c r="AQ112" s="15"/>
      <c r="AX112" s="54" t="s">
        <v>60</v>
      </c>
      <c r="AY112" s="142">
        <v>30</v>
      </c>
      <c r="AZ112" s="141" t="s">
        <v>37</v>
      </c>
      <c r="BA112" s="142" t="s">
        <v>61</v>
      </c>
      <c r="BB112" s="142">
        <f>BB111-BB110</f>
        <v>11</v>
      </c>
      <c r="BC112" s="142" t="s">
        <v>50</v>
      </c>
      <c r="BD112" s="141"/>
      <c r="BE112" s="142" t="s">
        <v>62</v>
      </c>
      <c r="BF112" s="236">
        <f>AP58</f>
        <v>0.30030000000000001</v>
      </c>
      <c r="BG112" s="143" t="s">
        <v>52</v>
      </c>
      <c r="BH112" s="142"/>
      <c r="BI112" s="148">
        <f>2.5*tfa*BF112</f>
        <v>311.2137390544973</v>
      </c>
      <c r="BJ112" s="141" t="s">
        <v>53</v>
      </c>
      <c r="BK112" s="147"/>
      <c r="BL112" s="147"/>
      <c r="BM112" s="141"/>
    </row>
    <row r="113" spans="1:185" x14ac:dyDescent="0.4">
      <c r="A113" s="70"/>
      <c r="C113" s="22" t="s">
        <v>166</v>
      </c>
      <c r="D113" s="24">
        <f>SUM(BB90:BB91)/tfa</f>
        <v>11.401735973586426</v>
      </c>
      <c r="E113" s="24"/>
      <c r="F113" s="24"/>
      <c r="G113" s="24"/>
      <c r="L113" s="22" t="s">
        <v>166</v>
      </c>
      <c r="M113" s="24">
        <f>SUM(BB140,BB141)/tfa</f>
        <v>7.540658298639749</v>
      </c>
      <c r="P113" s="192"/>
      <c r="Q113" s="193"/>
      <c r="R113" s="2"/>
      <c r="AJ113" s="105"/>
      <c r="AK113" s="108"/>
      <c r="AL113" s="113"/>
      <c r="AP113" s="15"/>
      <c r="AQ113" s="15"/>
      <c r="AX113" s="54" t="s">
        <v>64</v>
      </c>
      <c r="AY113" s="142">
        <v>21</v>
      </c>
      <c r="AZ113" s="141" t="s">
        <v>37</v>
      </c>
      <c r="BA113" s="142" t="s">
        <v>61</v>
      </c>
      <c r="BB113" s="146">
        <f>BB112/3.6</f>
        <v>3.0555555555555554</v>
      </c>
      <c r="BC113" s="142" t="s">
        <v>65</v>
      </c>
      <c r="BD113" s="141"/>
      <c r="BE113" s="142"/>
      <c r="BF113" s="141"/>
      <c r="BG113" s="141"/>
      <c r="BH113" s="141"/>
      <c r="BI113" s="141"/>
      <c r="BJ113" s="142"/>
      <c r="BK113" s="142"/>
      <c r="BL113" s="141"/>
      <c r="BM113" s="142"/>
    </row>
    <row r="114" spans="1:185" x14ac:dyDescent="0.4">
      <c r="A114" s="70"/>
      <c r="C114" s="22" t="s">
        <v>95</v>
      </c>
      <c r="D114" s="24">
        <f>BB89/tfa</f>
        <v>15.255935999999998</v>
      </c>
      <c r="E114" s="24"/>
      <c r="F114" s="24"/>
      <c r="H114" s="25"/>
      <c r="L114" s="22" t="s">
        <v>95</v>
      </c>
      <c r="M114" s="24">
        <f>BB139/tfa</f>
        <v>6.7903871999999996</v>
      </c>
      <c r="P114" s="192"/>
      <c r="Q114" s="193"/>
      <c r="R114" s="2"/>
      <c r="AJ114" s="105"/>
      <c r="AK114" s="108"/>
      <c r="AL114" s="113"/>
      <c r="AP114" s="15"/>
      <c r="AQ114" s="15"/>
      <c r="AX114" s="53"/>
      <c r="AY114" s="141"/>
      <c r="AZ114" s="141"/>
      <c r="BA114" s="141"/>
      <c r="BB114" s="141"/>
      <c r="BC114" s="141"/>
      <c r="BD114" s="141"/>
      <c r="BE114" s="141"/>
      <c r="BF114" s="141"/>
      <c r="BG114" s="141"/>
      <c r="BH114" s="141"/>
      <c r="BI114" s="141"/>
      <c r="BJ114" s="141"/>
      <c r="BK114" s="141"/>
      <c r="BL114" s="141"/>
      <c r="BM114" s="141"/>
    </row>
    <row r="115" spans="1:185" x14ac:dyDescent="0.4">
      <c r="A115" s="70"/>
      <c r="C115" s="22" t="s">
        <v>94</v>
      </c>
      <c r="D115" s="24">
        <f>BB88/tfa</f>
        <v>8.6256055363321806</v>
      </c>
      <c r="E115" s="24"/>
      <c r="G115" s="24"/>
      <c r="H115" s="24"/>
      <c r="L115" s="22" t="s">
        <v>94</v>
      </c>
      <c r="M115" s="24">
        <f>BB138/tfa</f>
        <v>5.3077943999999997</v>
      </c>
      <c r="P115" s="192"/>
      <c r="Q115" s="193"/>
      <c r="R115" s="2"/>
      <c r="AJ115" s="111" t="s">
        <v>80</v>
      </c>
      <c r="AK115" s="105"/>
      <c r="AL115" s="105"/>
      <c r="AP115" s="15"/>
      <c r="AQ115" s="15"/>
      <c r="AX115" s="52" t="s">
        <v>67</v>
      </c>
      <c r="AY115" s="142"/>
      <c r="AZ115" s="141"/>
      <c r="BA115" s="141"/>
      <c r="BB115" s="142"/>
      <c r="BC115" s="141"/>
      <c r="BD115" s="141"/>
      <c r="BE115" s="141"/>
      <c r="BF115" s="142"/>
      <c r="BG115" s="142"/>
      <c r="BH115" s="141"/>
      <c r="BI115" s="141"/>
      <c r="BJ115" s="142"/>
      <c r="BK115" s="149">
        <v>130</v>
      </c>
      <c r="BL115" s="150">
        <v>5</v>
      </c>
      <c r="BM115" s="150">
        <v>5</v>
      </c>
    </row>
    <row r="116" spans="1:185" x14ac:dyDescent="0.4">
      <c r="A116" s="70"/>
      <c r="C116" s="22" t="s">
        <v>220</v>
      </c>
      <c r="D116" s="24">
        <f>BB87/tfa</f>
        <v>3.2651221998359303</v>
      </c>
      <c r="F116" s="24"/>
      <c r="G116" s="24"/>
      <c r="H116" s="24"/>
      <c r="L116" s="22" t="s">
        <v>220</v>
      </c>
      <c r="M116" s="24">
        <f>BB137/tfa</f>
        <v>1.86578411419196</v>
      </c>
      <c r="P116" s="192"/>
      <c r="Q116" s="193"/>
      <c r="R116" s="2"/>
      <c r="AP116" s="15"/>
      <c r="AQ116" s="15"/>
      <c r="AX116" s="56" t="s">
        <v>70</v>
      </c>
      <c r="AY116" s="142"/>
      <c r="AZ116" s="142"/>
      <c r="BA116" s="142"/>
      <c r="BB116" s="57" t="s">
        <v>71</v>
      </c>
      <c r="BC116" s="142" t="s">
        <v>72</v>
      </c>
      <c r="BD116" s="142" t="s">
        <v>73</v>
      </c>
      <c r="BE116" s="57"/>
      <c r="BF116" s="142"/>
      <c r="BG116" s="57" t="s">
        <v>74</v>
      </c>
      <c r="BH116" s="142" t="s">
        <v>72</v>
      </c>
      <c r="BI116" s="142" t="s">
        <v>75</v>
      </c>
      <c r="BJ116" s="57"/>
      <c r="BK116" s="149" t="s">
        <v>76</v>
      </c>
      <c r="BL116" s="149" t="s">
        <v>77</v>
      </c>
      <c r="BM116" s="149" t="s">
        <v>77</v>
      </c>
    </row>
    <row r="117" spans="1:185" x14ac:dyDescent="0.4">
      <c r="C117" s="22" t="s">
        <v>216</v>
      </c>
      <c r="D117" s="24">
        <f>BB86/tfa</f>
        <v>29.923607426784706</v>
      </c>
      <c r="E117" s="24"/>
      <c r="F117" s="24"/>
      <c r="G117" s="24"/>
      <c r="H117" s="24"/>
      <c r="L117" s="22" t="s">
        <v>216</v>
      </c>
      <c r="M117" s="24">
        <f>BB136/tfa</f>
        <v>14.384642145813419</v>
      </c>
      <c r="P117" s="192"/>
      <c r="Q117" s="193"/>
      <c r="R117" s="2"/>
      <c r="AJ117" s="111" t="s">
        <v>174</v>
      </c>
      <c r="AK117" s="111" t="s">
        <v>175</v>
      </c>
      <c r="AM117" s="111" t="s">
        <v>71</v>
      </c>
      <c r="AN117" s="111" t="s">
        <v>175</v>
      </c>
      <c r="AO117" s="111" t="s">
        <v>176</v>
      </c>
      <c r="AQ117" s="111" t="s">
        <v>74</v>
      </c>
      <c r="AR117" s="111" t="s">
        <v>175</v>
      </c>
      <c r="AX117" s="58" t="s">
        <v>81</v>
      </c>
      <c r="AY117" s="57" t="s">
        <v>82</v>
      </c>
      <c r="AZ117" s="151" t="s">
        <v>83</v>
      </c>
      <c r="BA117" s="57"/>
      <c r="BB117" s="57" t="s">
        <v>84</v>
      </c>
      <c r="BC117" s="57" t="s">
        <v>85</v>
      </c>
      <c r="BD117" s="57" t="s">
        <v>86</v>
      </c>
      <c r="BE117" s="57" t="s">
        <v>87</v>
      </c>
      <c r="BF117" s="57"/>
      <c r="BG117" s="57" t="s">
        <v>84</v>
      </c>
      <c r="BH117" s="57" t="s">
        <v>85</v>
      </c>
      <c r="BI117" s="57" t="s">
        <v>86</v>
      </c>
      <c r="BJ117" s="57" t="s">
        <v>87</v>
      </c>
      <c r="BK117" s="59" t="s">
        <v>78</v>
      </c>
      <c r="BL117" s="59" t="s">
        <v>88</v>
      </c>
      <c r="BM117" s="59" t="s">
        <v>89</v>
      </c>
    </row>
    <row r="118" spans="1:185" x14ac:dyDescent="0.4">
      <c r="A118" s="70"/>
      <c r="P118" s="192"/>
      <c r="Q118" s="193"/>
      <c r="R118" s="2"/>
      <c r="AJ118" s="105" t="s">
        <v>182</v>
      </c>
      <c r="AK118" s="113">
        <v>0</v>
      </c>
      <c r="AM118" s="105" t="s">
        <v>183</v>
      </c>
      <c r="AN118" s="113">
        <v>0.8</v>
      </c>
      <c r="AO118" s="105" t="s">
        <v>184</v>
      </c>
      <c r="AQ118" s="105" t="s">
        <v>185</v>
      </c>
      <c r="AR118" s="113">
        <v>0</v>
      </c>
      <c r="AX118" s="53" t="s">
        <v>92</v>
      </c>
      <c r="AY118" s="143">
        <f>M93</f>
        <v>0.16200000000000001</v>
      </c>
      <c r="AZ118" s="146">
        <f>(2*(length*heightabove)+2*(width*heightabove))-SUM($C$76:$C$79,$C$81)</f>
        <v>269.06757882212969</v>
      </c>
      <c r="BA118" s="146"/>
      <c r="BB118" s="152">
        <f>BB108</f>
        <v>60</v>
      </c>
      <c r="BC118" s="153">
        <f>AY118*AZ118*BB118</f>
        <v>2615.3368661511008</v>
      </c>
      <c r="BD118" s="153">
        <f>BI111*BB108*0.33</f>
        <v>5951.5328088147762</v>
      </c>
      <c r="BE118" s="153">
        <f>BI112*BB108*0.33*(1-BF109)</f>
        <v>924.30480499185705</v>
      </c>
      <c r="BF118" s="153"/>
      <c r="BG118" s="153">
        <f>BB109</f>
        <v>5</v>
      </c>
      <c r="BH118" s="153">
        <f>AY118*AZ118*BG118</f>
        <v>217.94473884592506</v>
      </c>
      <c r="BI118" s="153">
        <f>BF108*BI111*BB113</f>
        <v>1055.6855415096452</v>
      </c>
      <c r="BJ118" s="153">
        <f>BF108*BI112*BB113*(1-BF109)</f>
        <v>163.95359816089419</v>
      </c>
      <c r="BK118" s="153">
        <f>BK115*occupants</f>
        <v>520</v>
      </c>
      <c r="BL118" s="153">
        <f>BL115*tfa</f>
        <v>2072.6855747885265</v>
      </c>
      <c r="BM118" s="153">
        <f>BM115*tfa</f>
        <v>2072.6855747885265</v>
      </c>
    </row>
    <row r="119" spans="1:185" x14ac:dyDescent="0.4">
      <c r="P119" s="192"/>
      <c r="Q119" s="193"/>
      <c r="R119" s="2"/>
      <c r="AJ119" s="105" t="s">
        <v>415</v>
      </c>
      <c r="AK119" s="113">
        <v>0.5</v>
      </c>
      <c r="AM119" s="105" t="s">
        <v>186</v>
      </c>
      <c r="AN119" s="113">
        <v>0.95</v>
      </c>
      <c r="AO119" s="105" t="s">
        <v>184</v>
      </c>
      <c r="AQ119" s="105" t="s">
        <v>187</v>
      </c>
      <c r="AR119" s="113">
        <f>13/3.41</f>
        <v>3.8123167155425217</v>
      </c>
      <c r="AX119" s="53" t="s">
        <v>93</v>
      </c>
      <c r="AY119" s="143">
        <f>M94</f>
        <v>0.192</v>
      </c>
      <c r="AZ119" s="146">
        <f>2*(length*heightbelow)+2*(width*heightbelow)</f>
        <v>73.616894705532417</v>
      </c>
      <c r="BA119" s="146"/>
      <c r="BB119" s="152">
        <f>AY108-AY110</f>
        <v>15</v>
      </c>
      <c r="BC119" s="153">
        <f>AY119*AZ119*BB119</f>
        <v>212.01665675193337</v>
      </c>
      <c r="BD119" s="153"/>
      <c r="BE119" s="153"/>
      <c r="BF119" s="153"/>
      <c r="BG119" s="153"/>
      <c r="BH119" s="153">
        <f>AY119*AZ119*BG119</f>
        <v>0</v>
      </c>
      <c r="BI119" s="153"/>
      <c r="BJ119" s="153"/>
      <c r="BK119" s="153"/>
      <c r="BL119" s="153"/>
      <c r="BM119" s="153"/>
      <c r="BN119" s="43"/>
    </row>
    <row r="120" spans="1:185" x14ac:dyDescent="0.4">
      <c r="A120" s="70"/>
      <c r="C120" s="16"/>
      <c r="D120" s="8"/>
      <c r="E120" s="14"/>
      <c r="G120" s="192"/>
      <c r="H120" s="193"/>
      <c r="I120" s="2"/>
      <c r="J120" s="70"/>
      <c r="L120" s="16"/>
      <c r="M120" s="8"/>
      <c r="N120" s="14"/>
      <c r="P120" s="192"/>
      <c r="Q120" s="193"/>
      <c r="R120" s="2"/>
      <c r="AJ120" s="105" t="s">
        <v>416</v>
      </c>
      <c r="AK120" s="113">
        <v>0.6</v>
      </c>
      <c r="AM120" s="105" t="s">
        <v>188</v>
      </c>
      <c r="AN120" s="113">
        <v>1</v>
      </c>
      <c r="AO120" s="105" t="s">
        <v>189</v>
      </c>
      <c r="AQ120" s="105" t="s">
        <v>190</v>
      </c>
      <c r="AR120" s="113">
        <f>16/3.41</f>
        <v>4.6920821114369495</v>
      </c>
      <c r="AX120" s="53" t="s">
        <v>94</v>
      </c>
      <c r="AY120" s="143">
        <f>M95</f>
        <v>7.0974999999999996E-2</v>
      </c>
      <c r="AZ120" s="146">
        <f>$C$70</f>
        <v>226.61362284354556</v>
      </c>
      <c r="BA120" s="146"/>
      <c r="BB120" s="152">
        <f>BB108</f>
        <v>60</v>
      </c>
      <c r="BC120" s="153">
        <f>AY120*AZ120*BB120</f>
        <v>965.03411287923871</v>
      </c>
      <c r="BD120" s="153"/>
      <c r="BE120" s="153"/>
      <c r="BF120" s="153"/>
      <c r="BG120" s="153">
        <f>BB109</f>
        <v>5</v>
      </c>
      <c r="BH120" s="153">
        <f>AY120*AZ120*BG120</f>
        <v>80.419509406603225</v>
      </c>
      <c r="BI120" s="153"/>
      <c r="BJ120" s="153"/>
      <c r="BK120" s="153"/>
      <c r="BL120" s="153"/>
      <c r="BM120" s="153"/>
    </row>
    <row r="121" spans="1:185" x14ac:dyDescent="0.4">
      <c r="A121" s="70"/>
      <c r="C121" s="16"/>
      <c r="D121" s="8"/>
      <c r="E121" s="14"/>
      <c r="G121" s="192"/>
      <c r="H121" s="193"/>
      <c r="I121" s="2"/>
      <c r="J121" s="70"/>
      <c r="L121" s="16"/>
      <c r="M121" s="8"/>
      <c r="N121" s="14"/>
      <c r="P121" s="192"/>
      <c r="Q121" s="193"/>
      <c r="R121" s="2"/>
      <c r="AJ121" s="105" t="s">
        <v>420</v>
      </c>
      <c r="AK121" s="113">
        <v>0.75</v>
      </c>
      <c r="AM121" s="105" t="s">
        <v>193</v>
      </c>
      <c r="AN121" s="113">
        <v>2</v>
      </c>
      <c r="AO121" s="105" t="s">
        <v>189</v>
      </c>
      <c r="AQ121" s="105" t="s">
        <v>193</v>
      </c>
      <c r="AR121" s="113">
        <f>20/3.41</f>
        <v>5.8651026392961878</v>
      </c>
      <c r="AX121" s="53" t="s">
        <v>95</v>
      </c>
      <c r="AY121" s="143">
        <f>M96</f>
        <v>0.22700000000000001</v>
      </c>
      <c r="AZ121" s="146">
        <f>$C$71</f>
        <v>226.61362284354556</v>
      </c>
      <c r="BA121" s="146"/>
      <c r="BB121" s="152">
        <f>AY108-AY110</f>
        <v>15</v>
      </c>
      <c r="BC121" s="153">
        <f>AY121*AZ121*BB121</f>
        <v>771.61938578227262</v>
      </c>
      <c r="BD121" s="153"/>
      <c r="BE121" s="153"/>
      <c r="BF121" s="153"/>
      <c r="BG121" s="153"/>
      <c r="BH121" s="153">
        <f>AY121*AZ121*BG121</f>
        <v>0</v>
      </c>
      <c r="BI121" s="153"/>
      <c r="BJ121" s="153"/>
      <c r="BK121" s="153"/>
      <c r="BL121" s="153"/>
      <c r="BM121" s="153"/>
    </row>
    <row r="122" spans="1:185" x14ac:dyDescent="0.4">
      <c r="A122" s="70"/>
      <c r="C122" s="16"/>
      <c r="D122" s="8"/>
      <c r="E122" s="14"/>
      <c r="G122" s="192"/>
      <c r="H122" s="193"/>
      <c r="I122" s="2"/>
      <c r="J122" s="70"/>
      <c r="L122" s="16"/>
      <c r="M122" s="8"/>
      <c r="N122" s="14"/>
      <c r="P122" s="192"/>
      <c r="Q122" s="193"/>
      <c r="R122" s="2"/>
      <c r="AJ122" s="105" t="s">
        <v>421</v>
      </c>
      <c r="AK122" s="113">
        <v>0.8</v>
      </c>
      <c r="AM122" s="105" t="s">
        <v>197</v>
      </c>
      <c r="AN122" s="113">
        <v>3</v>
      </c>
      <c r="AO122" s="105" t="s">
        <v>189</v>
      </c>
      <c r="AQ122" s="105"/>
      <c r="AR122" s="105"/>
      <c r="AX122" s="53" t="s">
        <v>106</v>
      </c>
      <c r="AY122" s="143">
        <f>M101</f>
        <v>0.56779999999999997</v>
      </c>
      <c r="AZ122" s="146">
        <f>$C$81</f>
        <v>5.9</v>
      </c>
      <c r="BA122" s="141"/>
      <c r="BB122" s="152">
        <f>BB108</f>
        <v>60</v>
      </c>
      <c r="BC122" s="153">
        <f>AY122*AZ122*BB122</f>
        <v>201.00120000000001</v>
      </c>
      <c r="BD122" s="141"/>
      <c r="BE122" s="141"/>
      <c r="BF122" s="141"/>
      <c r="BG122" s="153">
        <f>BB109</f>
        <v>5</v>
      </c>
      <c r="BH122" s="153">
        <f>AY122*AZ122*BG122</f>
        <v>16.7501</v>
      </c>
      <c r="BI122" s="141"/>
      <c r="BJ122" s="141"/>
      <c r="BK122" s="141"/>
      <c r="BL122" s="153"/>
      <c r="BM122" s="153"/>
    </row>
    <row r="123" spans="1:185" x14ac:dyDescent="0.4">
      <c r="A123" s="70"/>
      <c r="C123" s="16"/>
      <c r="D123" s="8"/>
      <c r="E123" s="14"/>
      <c r="G123" s="192"/>
      <c r="H123" s="193"/>
      <c r="I123" s="2"/>
      <c r="J123" s="70"/>
      <c r="L123" s="16"/>
      <c r="M123" s="8"/>
      <c r="N123" s="14"/>
      <c r="P123" s="192"/>
      <c r="Q123" s="193"/>
      <c r="R123" s="2"/>
      <c r="AJ123" s="105" t="s">
        <v>422</v>
      </c>
      <c r="AK123" s="113">
        <v>0.85</v>
      </c>
      <c r="AM123" s="105"/>
      <c r="AN123" s="113"/>
      <c r="AO123" s="105"/>
      <c r="AQ123" s="105"/>
      <c r="AR123" s="113"/>
      <c r="AW123" s="21"/>
      <c r="AX123" s="55"/>
      <c r="AY123" s="146"/>
      <c r="AZ123" s="146"/>
      <c r="BA123" s="154"/>
      <c r="BB123" s="146"/>
      <c r="BC123" s="146"/>
      <c r="BD123" s="152" t="s">
        <v>109</v>
      </c>
      <c r="BE123" s="153">
        <f>SUM(BC118:BE122)+SUM(BG127:BG130)</f>
        <v>12810.845835371181</v>
      </c>
      <c r="BF123" s="153"/>
      <c r="BG123" s="153"/>
      <c r="BH123" s="153"/>
      <c r="BI123" s="153"/>
      <c r="BJ123" s="153"/>
      <c r="BK123" s="153"/>
      <c r="BL123" s="153" t="s">
        <v>109</v>
      </c>
      <c r="BM123" s="153">
        <f>SUM(BH118:BM122,BK127:BK130)</f>
        <v>6926.9380275001222</v>
      </c>
    </row>
    <row r="124" spans="1:185" x14ac:dyDescent="0.4">
      <c r="A124" s="7"/>
      <c r="C124" s="16"/>
      <c r="D124" s="8"/>
      <c r="E124" s="14"/>
      <c r="G124" s="192"/>
      <c r="H124" s="193"/>
      <c r="I124" s="2"/>
      <c r="J124" s="70"/>
      <c r="K124" s="86" t="s">
        <v>437</v>
      </c>
      <c r="L124" s="16"/>
      <c r="M124" s="8"/>
      <c r="N124" s="14"/>
      <c r="P124" s="192"/>
      <c r="Q124" s="193"/>
      <c r="R124" s="2"/>
      <c r="AJ124" s="105" t="s">
        <v>423</v>
      </c>
      <c r="AK124" s="113">
        <v>0.9</v>
      </c>
      <c r="AM124" s="105"/>
      <c r="AN124" s="113"/>
      <c r="AO124" s="105"/>
      <c r="AQ124" s="105"/>
      <c r="AR124" s="113"/>
      <c r="AX124" s="55"/>
      <c r="AY124" s="146"/>
      <c r="AZ124" s="146"/>
      <c r="BA124" s="146"/>
      <c r="BB124" s="154"/>
      <c r="BC124" s="146"/>
      <c r="BD124" s="146"/>
      <c r="BE124" s="152"/>
      <c r="BF124" s="153"/>
      <c r="BG124" s="153"/>
      <c r="BH124" s="153"/>
      <c r="BI124" s="153"/>
      <c r="BJ124" s="153"/>
      <c r="BK124" s="153"/>
      <c r="BL124" s="153"/>
      <c r="BM124" s="153"/>
    </row>
    <row r="125" spans="1:185" s="4" customFormat="1" ht="14.25" thickBot="1" x14ac:dyDescent="0.45">
      <c r="A125" s="1"/>
      <c r="B125" s="1"/>
      <c r="C125" s="1"/>
      <c r="D125" s="1"/>
      <c r="E125" s="1"/>
      <c r="F125" s="1"/>
      <c r="G125" s="1"/>
      <c r="H125" s="1"/>
      <c r="I125" s="1"/>
      <c r="J125" s="1"/>
      <c r="K125" s="1"/>
      <c r="L125" s="1"/>
      <c r="M125" s="1"/>
      <c r="N125" s="1"/>
      <c r="O125" s="1"/>
      <c r="P125" s="1"/>
      <c r="Q125" s="1"/>
      <c r="R125" s="1"/>
      <c r="S125" s="1"/>
      <c r="T125" s="1"/>
      <c r="U125" s="1"/>
      <c r="V125" s="7"/>
      <c r="W125" s="7"/>
      <c r="X125" s="7"/>
      <c r="Y125" s="7"/>
      <c r="Z125" s="7"/>
      <c r="AA125" s="7"/>
      <c r="AB125" s="7"/>
      <c r="AC125" s="7"/>
      <c r="AD125" s="7"/>
      <c r="AE125" s="7"/>
      <c r="AF125" s="7"/>
      <c r="AG125" s="7"/>
      <c r="AH125" s="7"/>
      <c r="AI125" s="7"/>
      <c r="AJ125" s="105"/>
      <c r="AK125" s="113"/>
      <c r="AL125" s="7"/>
      <c r="AM125" s="105"/>
      <c r="AN125" s="113"/>
      <c r="AO125" s="105"/>
      <c r="AP125" s="7"/>
      <c r="AQ125" s="105"/>
      <c r="AR125" s="113"/>
      <c r="AS125" s="7"/>
      <c r="AT125" s="7"/>
      <c r="AU125" s="7"/>
      <c r="AV125" s="7"/>
      <c r="AW125" s="7"/>
      <c r="AX125" s="56" t="s">
        <v>114</v>
      </c>
      <c r="AY125" s="142"/>
      <c r="AZ125" s="142"/>
      <c r="BA125" s="141"/>
      <c r="BB125" s="142"/>
      <c r="BC125" s="141"/>
      <c r="BD125" s="141"/>
      <c r="BE125" s="141"/>
      <c r="BF125" s="141"/>
      <c r="BG125" s="141"/>
      <c r="BH125" s="141"/>
      <c r="BI125" s="57" t="s">
        <v>115</v>
      </c>
      <c r="BJ125" s="57"/>
      <c r="BK125" s="57"/>
      <c r="BL125" s="153"/>
      <c r="BM125" s="153"/>
      <c r="BN125" s="7"/>
      <c r="BO125" s="7"/>
      <c r="BP125" s="7"/>
      <c r="BQ125" s="7"/>
      <c r="BR125" s="7"/>
      <c r="BS125" s="7"/>
      <c r="BT125" s="7"/>
      <c r="BU125" s="7"/>
      <c r="BV125" s="7"/>
      <c r="BW125" s="7"/>
      <c r="BX125" s="7"/>
      <c r="BY125" s="7"/>
      <c r="BZ125" s="7"/>
      <c r="CA125" s="7"/>
      <c r="CB125" s="7"/>
      <c r="CC125" s="7"/>
      <c r="CD125" s="7"/>
      <c r="CE125" s="7"/>
      <c r="CF125" s="7"/>
      <c r="CG125" s="7"/>
      <c r="CH125" s="7"/>
      <c r="CI125" s="7"/>
      <c r="CJ125" s="7"/>
      <c r="CK125" s="7"/>
      <c r="CL125" s="7"/>
      <c r="CM125" s="7"/>
      <c r="CN125" s="7"/>
      <c r="CO125" s="7"/>
      <c r="CP125" s="7"/>
      <c r="CQ125" s="7"/>
      <c r="CR125" s="7"/>
      <c r="CS125" s="7"/>
      <c r="CT125" s="7"/>
      <c r="CU125" s="7"/>
      <c r="CV125" s="7"/>
      <c r="CW125" s="7"/>
      <c r="CX125" s="7"/>
      <c r="CY125" s="7"/>
      <c r="CZ125" s="7"/>
      <c r="DA125" s="7"/>
      <c r="DB125" s="7"/>
      <c r="DC125" s="7"/>
      <c r="DD125" s="7"/>
      <c r="DE125" s="7"/>
      <c r="DF125" s="7"/>
      <c r="DG125" s="7"/>
      <c r="DH125" s="7"/>
      <c r="DI125" s="7"/>
      <c r="DJ125" s="7"/>
      <c r="DK125" s="7"/>
      <c r="DL125" s="7"/>
      <c r="DM125" s="7"/>
      <c r="DN125" s="7"/>
      <c r="DO125" s="7"/>
      <c r="DP125" s="7"/>
      <c r="DQ125" s="7"/>
      <c r="DR125" s="7"/>
      <c r="DS125" s="7"/>
      <c r="DT125" s="7"/>
      <c r="DU125" s="7"/>
      <c r="DV125" s="7"/>
      <c r="DW125" s="7"/>
      <c r="DX125" s="7"/>
      <c r="DY125" s="7"/>
      <c r="DZ125" s="7"/>
      <c r="EA125" s="7"/>
      <c r="EB125" s="7"/>
      <c r="EC125" s="7"/>
      <c r="ED125" s="7"/>
      <c r="EE125" s="7"/>
      <c r="EF125" s="7"/>
      <c r="EG125" s="7"/>
      <c r="EH125" s="7"/>
      <c r="EI125" s="7"/>
      <c r="EJ125" s="7"/>
      <c r="EK125" s="7"/>
      <c r="EL125" s="7"/>
      <c r="EM125" s="7"/>
      <c r="EN125" s="7"/>
      <c r="EO125" s="7"/>
      <c r="EP125" s="7"/>
      <c r="EQ125" s="7"/>
      <c r="ER125" s="7"/>
      <c r="ES125" s="7"/>
      <c r="ET125" s="7"/>
      <c r="EU125" s="7"/>
      <c r="EV125" s="7"/>
      <c r="EW125" s="7"/>
      <c r="EX125" s="7"/>
      <c r="EY125" s="7"/>
      <c r="EZ125" s="7"/>
      <c r="FA125" s="7"/>
      <c r="FB125" s="7"/>
      <c r="FC125" s="7"/>
      <c r="FD125" s="7"/>
      <c r="FE125" s="7"/>
      <c r="FF125" s="7"/>
      <c r="FG125" s="7"/>
      <c r="FH125" s="7"/>
      <c r="FI125" s="7"/>
      <c r="FJ125" s="7"/>
      <c r="FK125" s="7"/>
      <c r="FL125" s="7"/>
      <c r="FM125" s="7"/>
      <c r="FN125" s="7"/>
      <c r="FO125" s="7"/>
      <c r="FP125" s="7"/>
      <c r="FQ125" s="7"/>
      <c r="FR125" s="7"/>
      <c r="FS125" s="7"/>
      <c r="FT125" s="7"/>
      <c r="FU125" s="7"/>
      <c r="FV125" s="7"/>
      <c r="FW125" s="7"/>
      <c r="FX125" s="7"/>
      <c r="FY125" s="7"/>
      <c r="FZ125" s="7"/>
      <c r="GA125" s="7"/>
      <c r="GB125" s="7"/>
      <c r="GC125" s="7"/>
    </row>
    <row r="126" spans="1:185" ht="16.5" thickBot="1" x14ac:dyDescent="0.6">
      <c r="B126" s="78" t="s">
        <v>234</v>
      </c>
      <c r="C126" s="78"/>
      <c r="K126" s="80" t="s">
        <v>234</v>
      </c>
      <c r="L126" s="80"/>
      <c r="AJ126" s="111" t="s">
        <v>80</v>
      </c>
      <c r="AK126" s="105"/>
      <c r="AM126" s="105"/>
      <c r="AN126" s="105"/>
      <c r="AO126" s="105"/>
      <c r="AQ126" s="105"/>
      <c r="AR126" s="105"/>
      <c r="AX126" s="58" t="s">
        <v>117</v>
      </c>
      <c r="AY126" s="57" t="s">
        <v>118</v>
      </c>
      <c r="AZ126" s="57" t="s">
        <v>119</v>
      </c>
      <c r="BA126" s="57" t="s">
        <v>120</v>
      </c>
      <c r="BB126" s="57" t="s">
        <v>121</v>
      </c>
      <c r="BC126" s="57" t="s">
        <v>122</v>
      </c>
      <c r="BD126" s="57" t="s">
        <v>123</v>
      </c>
      <c r="BE126" s="57" t="s">
        <v>124</v>
      </c>
      <c r="BF126" s="57"/>
      <c r="BG126" s="57" t="s">
        <v>125</v>
      </c>
      <c r="BH126" s="57"/>
      <c r="BI126" s="57" t="s">
        <v>126</v>
      </c>
      <c r="BJ126" s="57" t="s">
        <v>127</v>
      </c>
      <c r="BK126" s="57" t="s">
        <v>109</v>
      </c>
      <c r="BL126" s="153"/>
      <c r="BM126" s="153"/>
    </row>
    <row r="127" spans="1:185" x14ac:dyDescent="0.4">
      <c r="A127" s="70" t="s">
        <v>13</v>
      </c>
      <c r="B127" s="76" t="s">
        <v>146</v>
      </c>
      <c r="C127" s="209" t="s">
        <v>416</v>
      </c>
      <c r="D127" s="215">
        <f>LOOKUP(C127,$AJ$118:$AJ$125,$AK$118:$AK$125)</f>
        <v>0.6</v>
      </c>
      <c r="E127" s="1" t="s">
        <v>196</v>
      </c>
      <c r="J127" s="70" t="s">
        <v>13</v>
      </c>
      <c r="K127" s="79" t="s">
        <v>146</v>
      </c>
      <c r="L127" s="209" t="s">
        <v>422</v>
      </c>
      <c r="M127" s="215">
        <f>LOOKUP(L127,$AJ$118:$AJ$124,$AK$118:$AK$124)</f>
        <v>0.85</v>
      </c>
      <c r="N127" s="1" t="s">
        <v>196</v>
      </c>
      <c r="AX127" s="53" t="s">
        <v>116</v>
      </c>
      <c r="AY127" s="143">
        <f>$M$99</f>
        <v>1</v>
      </c>
      <c r="AZ127" s="143">
        <f>$M$100</f>
        <v>0.37</v>
      </c>
      <c r="BA127" s="148">
        <f>C76</f>
        <v>5.57</v>
      </c>
      <c r="BB127" s="146">
        <f>BA127*0.75</f>
        <v>4.1775000000000002</v>
      </c>
      <c r="BC127" s="144">
        <v>0.6</v>
      </c>
      <c r="BD127" s="141">
        <v>360</v>
      </c>
      <c r="BE127" s="153">
        <v>93</v>
      </c>
      <c r="BF127" s="141"/>
      <c r="BG127" s="153">
        <f>AY127*BA127*($AY$108-$AY$111)</f>
        <v>334.20000000000005</v>
      </c>
      <c r="BH127" s="141"/>
      <c r="BI127" s="153">
        <f>AY127*BA127*($AY$112-$AY$109)</f>
        <v>27.85</v>
      </c>
      <c r="BJ127" s="153">
        <f>BB127*AZ127*BC127*BE127</f>
        <v>86.248665000000003</v>
      </c>
      <c r="BK127" s="153">
        <f>BI127+BJ127</f>
        <v>114.09866500000001</v>
      </c>
      <c r="BL127" s="153"/>
      <c r="BM127" s="153"/>
    </row>
    <row r="128" spans="1:185" x14ac:dyDescent="0.4">
      <c r="A128" s="70" t="s">
        <v>13</v>
      </c>
      <c r="B128" s="76" t="s">
        <v>71</v>
      </c>
      <c r="C128" s="211" t="s">
        <v>186</v>
      </c>
      <c r="D128" s="215">
        <f>LOOKUP(C128,$AM$118:$AM$125,$AN$118:$AN$125)</f>
        <v>0.95</v>
      </c>
      <c r="E128" s="1" t="s">
        <v>196</v>
      </c>
      <c r="J128" s="70" t="s">
        <v>13</v>
      </c>
      <c r="K128" s="79" t="s">
        <v>71</v>
      </c>
      <c r="L128" s="211" t="s">
        <v>193</v>
      </c>
      <c r="M128" s="215">
        <f>LOOKUP(L128,$AM$118:$AM$125,$AN$118:$AN$125)</f>
        <v>2</v>
      </c>
      <c r="N128" s="1" t="s">
        <v>196</v>
      </c>
      <c r="AJ128" s="111" t="s">
        <v>204</v>
      </c>
      <c r="AK128" s="111" t="s">
        <v>175</v>
      </c>
      <c r="AL128" s="111" t="s">
        <v>205</v>
      </c>
      <c r="AM128" s="111" t="s">
        <v>206</v>
      </c>
      <c r="AN128" s="111"/>
      <c r="AO128" s="105"/>
      <c r="AQ128" s="111" t="s">
        <v>207</v>
      </c>
      <c r="AR128" s="105" t="s">
        <v>208</v>
      </c>
      <c r="AX128" s="53" t="s">
        <v>128</v>
      </c>
      <c r="AY128" s="143">
        <f>$M$99</f>
        <v>1</v>
      </c>
      <c r="AZ128" s="143">
        <f>$M$100</f>
        <v>0.37</v>
      </c>
      <c r="BA128" s="148">
        <f>C77</f>
        <v>1.1100000000000001</v>
      </c>
      <c r="BB128" s="146">
        <f>BA128*0.75</f>
        <v>0.83250000000000002</v>
      </c>
      <c r="BC128" s="144">
        <f>BC127</f>
        <v>0.6</v>
      </c>
      <c r="BD128" s="141">
        <v>90</v>
      </c>
      <c r="BE128" s="153">
        <v>285</v>
      </c>
      <c r="BF128" s="141"/>
      <c r="BG128" s="153">
        <f>AY128*BA128*($AY$108-$AY$111)</f>
        <v>66.600000000000009</v>
      </c>
      <c r="BH128" s="141"/>
      <c r="BI128" s="153">
        <f>AY128*BA128*($AY$112-$AY$109)</f>
        <v>5.5500000000000007</v>
      </c>
      <c r="BJ128" s="153">
        <f>BB128*AZ128*BC128*BE128</f>
        <v>52.672274999999992</v>
      </c>
      <c r="BK128" s="153">
        <f>BI128+BJ128</f>
        <v>58.222274999999996</v>
      </c>
      <c r="BL128" s="153"/>
      <c r="BM128" s="153"/>
    </row>
    <row r="129" spans="1:65" ht="14.25" thickBot="1" x14ac:dyDescent="0.45">
      <c r="A129" s="70" t="s">
        <v>13</v>
      </c>
      <c r="B129" s="76" t="s">
        <v>74</v>
      </c>
      <c r="C129" s="211" t="s">
        <v>187</v>
      </c>
      <c r="D129" s="215">
        <f>LOOKUP(C129,$AQ$118:$AQ$125,$AR$118:$AR$125)</f>
        <v>3.8123167155425217</v>
      </c>
      <c r="E129" s="1" t="s">
        <v>196</v>
      </c>
      <c r="J129" s="70" t="s">
        <v>13</v>
      </c>
      <c r="K129" s="79" t="s">
        <v>74</v>
      </c>
      <c r="L129" s="211" t="s">
        <v>193</v>
      </c>
      <c r="M129" s="215">
        <f>LOOKUP(L129,$AQ$118:$AQ$125,$AR$118:$AR$125)</f>
        <v>5.8651026392961878</v>
      </c>
      <c r="N129" s="1" t="s">
        <v>196</v>
      </c>
      <c r="AJ129" s="105" t="s">
        <v>212</v>
      </c>
      <c r="AK129" s="113">
        <v>0.8</v>
      </c>
      <c r="AL129" s="105" t="s">
        <v>184</v>
      </c>
      <c r="AM129" s="105" t="s">
        <v>213</v>
      </c>
      <c r="AN129" s="105">
        <v>50</v>
      </c>
      <c r="AO129" s="105" t="s">
        <v>214</v>
      </c>
      <c r="AQ129" s="105" t="s">
        <v>215</v>
      </c>
      <c r="AR129" s="105">
        <v>0</v>
      </c>
      <c r="AX129" s="53" t="s">
        <v>130</v>
      </c>
      <c r="AY129" s="143">
        <f>$M$99</f>
        <v>1</v>
      </c>
      <c r="AZ129" s="143">
        <f>$M$100</f>
        <v>0.37</v>
      </c>
      <c r="BA129" s="148">
        <f>C78</f>
        <v>9.1999999999999993</v>
      </c>
      <c r="BB129" s="146">
        <f>BA129*0.75</f>
        <v>6.8999999999999995</v>
      </c>
      <c r="BC129" s="144">
        <f>BC128</f>
        <v>0.6</v>
      </c>
      <c r="BD129" s="141">
        <v>180</v>
      </c>
      <c r="BE129" s="153">
        <v>208</v>
      </c>
      <c r="BF129" s="141"/>
      <c r="BG129" s="153">
        <f>AY129*BA129*($AY$108-$AY$111)</f>
        <v>552</v>
      </c>
      <c r="BH129" s="141"/>
      <c r="BI129" s="153">
        <f>AY129*BA129*($AY$112-$AY$109)</f>
        <v>46</v>
      </c>
      <c r="BJ129" s="153">
        <f>BB129*AZ129*BC129*BE129</f>
        <v>318.61439999999999</v>
      </c>
      <c r="BK129" s="153">
        <f>BI129+BJ129</f>
        <v>364.61439999999999</v>
      </c>
      <c r="BL129" s="141"/>
      <c r="BM129" s="141"/>
    </row>
    <row r="130" spans="1:65" ht="14.25" thickBot="1" x14ac:dyDescent="0.45">
      <c r="A130" s="70" t="s">
        <v>13</v>
      </c>
      <c r="B130" s="76" t="s">
        <v>240</v>
      </c>
      <c r="C130" s="211" t="s">
        <v>217</v>
      </c>
      <c r="D130" s="215">
        <f>LOOKUP(C130,$AJ$129:$AJ$135,$AK$129:$AK$135)</f>
        <v>0.95</v>
      </c>
      <c r="E130" s="1" t="s">
        <v>196</v>
      </c>
      <c r="F130" s="213" t="s">
        <v>218</v>
      </c>
      <c r="J130" s="70" t="s">
        <v>13</v>
      </c>
      <c r="K130" s="79" t="s">
        <v>240</v>
      </c>
      <c r="L130" s="211" t="s">
        <v>222</v>
      </c>
      <c r="M130" s="215">
        <f>LOOKUP(L130,$AJ$129:$AJ$135,$AK$129:$AK$135)</f>
        <v>2.2999999999999998</v>
      </c>
      <c r="N130" s="1" t="s">
        <v>196</v>
      </c>
      <c r="O130" s="213" t="s">
        <v>218</v>
      </c>
      <c r="AJ130" s="105" t="s">
        <v>217</v>
      </c>
      <c r="AK130" s="113">
        <v>0.95</v>
      </c>
      <c r="AL130" s="105" t="s">
        <v>184</v>
      </c>
      <c r="AM130" s="105" t="s">
        <v>218</v>
      </c>
      <c r="AN130" s="105">
        <v>800</v>
      </c>
      <c r="AO130" s="105" t="s">
        <v>214</v>
      </c>
      <c r="AQ130" s="105" t="s">
        <v>219</v>
      </c>
      <c r="AR130" s="116">
        <v>0.25</v>
      </c>
      <c r="AX130" s="53" t="s">
        <v>131</v>
      </c>
      <c r="AY130" s="143">
        <f>$M$99</f>
        <v>1</v>
      </c>
      <c r="AZ130" s="143">
        <f>$M$100</f>
        <v>0.37</v>
      </c>
      <c r="BA130" s="148">
        <f>C79</f>
        <v>3.62</v>
      </c>
      <c r="BB130" s="146">
        <f>BA130*0.75</f>
        <v>2.7149999999999999</v>
      </c>
      <c r="BC130" s="144">
        <f>BC129</f>
        <v>0.6</v>
      </c>
      <c r="BD130" s="141">
        <v>270</v>
      </c>
      <c r="BE130" s="153">
        <v>285</v>
      </c>
      <c r="BF130" s="141"/>
      <c r="BG130" s="153">
        <f>AY130*BA130*($AY$108-$AY$111)</f>
        <v>217.20000000000002</v>
      </c>
      <c r="BH130" s="141"/>
      <c r="BI130" s="153">
        <f>AY130*BA130*($AY$112-$AY$109)</f>
        <v>18.100000000000001</v>
      </c>
      <c r="BJ130" s="153">
        <f>BB130*AZ130*BC130*BE130</f>
        <v>171.77804999999998</v>
      </c>
      <c r="BK130" s="153">
        <f>BI130+BJ130</f>
        <v>189.87804999999997</v>
      </c>
      <c r="BL130" s="141"/>
      <c r="BM130" s="141"/>
    </row>
    <row r="131" spans="1:65" ht="14.25" thickBot="1" x14ac:dyDescent="0.45">
      <c r="A131" s="70" t="s">
        <v>13</v>
      </c>
      <c r="B131" s="76" t="s">
        <v>207</v>
      </c>
      <c r="C131" s="212" t="s">
        <v>215</v>
      </c>
      <c r="D131" s="215">
        <f>LOOKUP(C131,$AQ$129:$AQ$130,$AR$129:$AR$130)</f>
        <v>0</v>
      </c>
      <c r="E131" s="1" t="s">
        <v>196</v>
      </c>
      <c r="J131" s="70" t="s">
        <v>13</v>
      </c>
      <c r="K131" s="79" t="s">
        <v>207</v>
      </c>
      <c r="L131" s="212" t="s">
        <v>219</v>
      </c>
      <c r="M131" s="215">
        <f>LOOKUP(L131,$AQ$129:$AQ$130,$AR$129:$AR$130)</f>
        <v>0.25</v>
      </c>
      <c r="N131" s="1" t="s">
        <v>196</v>
      </c>
      <c r="AJ131" s="105" t="s">
        <v>221</v>
      </c>
      <c r="AK131" s="113">
        <v>1</v>
      </c>
      <c r="AL131" s="105" t="s">
        <v>189</v>
      </c>
      <c r="AM131" s="105"/>
      <c r="AN131" s="105"/>
      <c r="AO131" s="105"/>
    </row>
    <row r="132" spans="1:65" x14ac:dyDescent="0.4">
      <c r="AJ132" s="105" t="s">
        <v>222</v>
      </c>
      <c r="AK132" s="113">
        <v>2.2999999999999998</v>
      </c>
      <c r="AL132" s="105" t="s">
        <v>189</v>
      </c>
      <c r="AM132" s="105" t="s">
        <v>223</v>
      </c>
      <c r="AN132" s="105">
        <v>300</v>
      </c>
      <c r="AO132" s="105" t="s">
        <v>214</v>
      </c>
    </row>
    <row r="133" spans="1:65" ht="20.65" thickBot="1" x14ac:dyDescent="0.6">
      <c r="B133" s="78" t="s">
        <v>244</v>
      </c>
      <c r="C133" s="76"/>
      <c r="K133" s="80" t="s">
        <v>244</v>
      </c>
      <c r="L133" s="79"/>
      <c r="AJ133" s="105" t="s">
        <v>197</v>
      </c>
      <c r="AK133" s="113">
        <v>3</v>
      </c>
      <c r="AL133" s="105" t="s">
        <v>189</v>
      </c>
      <c r="AX133" s="104" t="s">
        <v>246</v>
      </c>
      <c r="AY133" s="141"/>
      <c r="AZ133" s="141" t="s">
        <v>138</v>
      </c>
      <c r="BA133" s="141">
        <v>0.4</v>
      </c>
      <c r="BB133" s="141"/>
      <c r="BC133" s="141"/>
      <c r="BD133" s="141"/>
      <c r="BE133" s="141"/>
      <c r="BF133" s="141"/>
      <c r="BG133" s="141"/>
      <c r="BH133" s="141"/>
      <c r="BI133" s="141"/>
      <c r="BJ133" s="141"/>
      <c r="BK133" s="141"/>
      <c r="BL133" s="141"/>
      <c r="BM133" s="141"/>
    </row>
    <row r="134" spans="1:65" ht="15" x14ac:dyDescent="0.4">
      <c r="A134" s="70" t="s">
        <v>13</v>
      </c>
      <c r="B134" s="76" t="s">
        <v>245</v>
      </c>
      <c r="C134" s="209" t="s">
        <v>229</v>
      </c>
      <c r="D134" s="207">
        <f>LOOKUP(C134,$AK$140:$AK$143,$AL$140:$AL$143)</f>
        <v>140</v>
      </c>
      <c r="E134" s="1" t="s">
        <v>226</v>
      </c>
      <c r="J134" s="70" t="s">
        <v>13</v>
      </c>
      <c r="K134" s="79" t="s">
        <v>245</v>
      </c>
      <c r="L134" s="209" t="s">
        <v>228</v>
      </c>
      <c r="M134" s="207">
        <f>LOOKUP(L134,$AK$140:$AK$143,$AL$140:$AL$143)</f>
        <v>90</v>
      </c>
      <c r="N134" s="1" t="s">
        <v>226</v>
      </c>
      <c r="AJ134" s="105"/>
      <c r="AK134" s="113"/>
      <c r="AL134" s="105"/>
      <c r="AX134" s="62" t="s">
        <v>141</v>
      </c>
      <c r="AY134" s="141"/>
      <c r="AZ134" s="141"/>
      <c r="BA134" s="141"/>
      <c r="BB134" s="141"/>
      <c r="BC134" s="141"/>
      <c r="BD134" s="155" t="s">
        <v>425</v>
      </c>
      <c r="BE134" s="141"/>
      <c r="BF134" s="141"/>
      <c r="BG134" s="141"/>
      <c r="BH134" s="141"/>
      <c r="BI134" s="141"/>
      <c r="BJ134" s="141"/>
      <c r="BK134" s="141"/>
      <c r="BL134" s="141"/>
      <c r="BM134" s="141"/>
    </row>
    <row r="135" spans="1:65" ht="15" customHeight="1" x14ac:dyDescent="0.55000000000000004">
      <c r="A135" s="70" t="s">
        <v>13</v>
      </c>
      <c r="B135" s="76" t="s">
        <v>88</v>
      </c>
      <c r="C135" s="211" t="s">
        <v>233</v>
      </c>
      <c r="D135" s="207">
        <f>LOOKUP(C135,$AK$144:$AK$146,$AL$144:$AL$146)</f>
        <v>1.7</v>
      </c>
      <c r="E135" s="14" t="s">
        <v>231</v>
      </c>
      <c r="J135" s="70" t="s">
        <v>13</v>
      </c>
      <c r="K135" s="79" t="s">
        <v>88</v>
      </c>
      <c r="L135" s="211" t="s">
        <v>230</v>
      </c>
      <c r="M135" s="207">
        <f>LOOKUP(L135,$AK$144:$AK$146,$AL$144:$AL$146)</f>
        <v>0.6</v>
      </c>
      <c r="N135" s="14" t="s">
        <v>231</v>
      </c>
      <c r="AJ135" s="105"/>
      <c r="AK135" s="105"/>
      <c r="AL135" s="105"/>
      <c r="AX135" s="58" t="s">
        <v>81</v>
      </c>
      <c r="AY135" s="151" t="s">
        <v>83</v>
      </c>
      <c r="AZ135" s="57" t="s">
        <v>82</v>
      </c>
      <c r="BA135" s="151" t="s">
        <v>144</v>
      </c>
      <c r="BB135" s="151" t="s">
        <v>145</v>
      </c>
      <c r="BC135" s="141"/>
      <c r="BD135" s="219"/>
      <c r="BE135" s="219"/>
      <c r="BF135" s="151" t="s">
        <v>148</v>
      </c>
      <c r="BG135" s="63" t="s">
        <v>149</v>
      </c>
      <c r="BH135" s="151" t="s">
        <v>144</v>
      </c>
      <c r="BI135" s="151" t="s">
        <v>145</v>
      </c>
      <c r="BJ135" s="141"/>
      <c r="BK135" s="141"/>
      <c r="BL135" s="141"/>
      <c r="BM135" s="141"/>
    </row>
    <row r="136" spans="1:65" ht="15" x14ac:dyDescent="0.4">
      <c r="A136" s="70" t="s">
        <v>13</v>
      </c>
      <c r="B136" s="76" t="s">
        <v>235</v>
      </c>
      <c r="C136" s="211" t="s">
        <v>239</v>
      </c>
      <c r="D136" s="207">
        <f>LOOKUP(C136,$AK$147:$AK$150,$AL$147:$AL$150)</f>
        <v>5.2</v>
      </c>
      <c r="E136" s="14" t="s">
        <v>231</v>
      </c>
      <c r="J136" s="70" t="s">
        <v>13</v>
      </c>
      <c r="K136" s="79" t="s">
        <v>235</v>
      </c>
      <c r="L136" s="211" t="s">
        <v>238</v>
      </c>
      <c r="M136" s="207">
        <f>LOOKUP(L136,$AK$147:$AK$150,$AL$147:$AL$150)</f>
        <v>4.2</v>
      </c>
      <c r="N136" s="14" t="s">
        <v>231</v>
      </c>
      <c r="W136" s="9"/>
      <c r="AJ136" s="111" t="s">
        <v>80</v>
      </c>
      <c r="AK136" s="105"/>
      <c r="AL136" s="105"/>
      <c r="AX136" s="53" t="s">
        <v>92</v>
      </c>
      <c r="AY136" s="146">
        <f>AZ118</f>
        <v>269.06757882212969</v>
      </c>
      <c r="AZ136" s="143">
        <f>AY118</f>
        <v>0.16200000000000001</v>
      </c>
      <c r="BA136" s="146">
        <f>$C$87</f>
        <v>136.80000000000001</v>
      </c>
      <c r="BB136" s="153">
        <f t="shared" ref="BB136:BB141" si="3">AY136*AZ136*BA136</f>
        <v>5962.9680548245105</v>
      </c>
      <c r="BC136" s="141"/>
      <c r="BD136" s="151" t="s">
        <v>146</v>
      </c>
      <c r="BE136" s="141">
        <f>$BF$112*(1-$BF$109)</f>
        <v>4.5045000000000009E-2</v>
      </c>
      <c r="BF136" s="153">
        <f>tfa*2.5</f>
        <v>1036.3427873942633</v>
      </c>
      <c r="BG136" s="141">
        <v>0.33</v>
      </c>
      <c r="BH136" s="146">
        <f>$C$87</f>
        <v>136.80000000000001</v>
      </c>
      <c r="BI136" s="156">
        <f>(BE136)*BF136*BG136*BH136</f>
        <v>2107.4149553814341</v>
      </c>
      <c r="BJ136" s="141"/>
      <c r="BK136" s="141"/>
      <c r="BL136" s="141"/>
      <c r="BM136" s="141"/>
    </row>
    <row r="137" spans="1:65" ht="15.4" thickBot="1" x14ac:dyDescent="0.45">
      <c r="A137" s="70" t="s">
        <v>13</v>
      </c>
      <c r="B137" s="76" t="s">
        <v>249</v>
      </c>
      <c r="C137" s="212" t="s">
        <v>243</v>
      </c>
      <c r="D137" s="207">
        <f>LOOKUP(C137,$AK$151:$AK$152,$AL$151:$AL$152)</f>
        <v>4.4000000000000004</v>
      </c>
      <c r="E137" s="14" t="s">
        <v>231</v>
      </c>
      <c r="J137" s="70" t="s">
        <v>13</v>
      </c>
      <c r="K137" s="79" t="s">
        <v>249</v>
      </c>
      <c r="L137" s="212" t="s">
        <v>243</v>
      </c>
      <c r="M137" s="207">
        <f>LOOKUP(L137,$AK$151:$AK$152,$AL$151:$AL$152)</f>
        <v>4.4000000000000004</v>
      </c>
      <c r="N137" s="14" t="s">
        <v>231</v>
      </c>
      <c r="AX137" s="53" t="s">
        <v>93</v>
      </c>
      <c r="AY137" s="146">
        <f>AZ119</f>
        <v>73.616894705532417</v>
      </c>
      <c r="AZ137" s="143">
        <f>AY119</f>
        <v>0.192</v>
      </c>
      <c r="BA137" s="146">
        <f>$BA$133*$C$87</f>
        <v>54.720000000000006</v>
      </c>
      <c r="BB137" s="153">
        <f t="shared" si="3"/>
        <v>773.43676383105299</v>
      </c>
      <c r="BC137" s="141"/>
      <c r="BD137" s="151" t="s">
        <v>147</v>
      </c>
      <c r="BE137" s="154">
        <f>$BF$110</f>
        <v>8.7012464046021101E-2</v>
      </c>
      <c r="BF137" s="153">
        <f>tfa*2.5</f>
        <v>1036.3427873942633</v>
      </c>
      <c r="BG137" s="141">
        <v>0.33</v>
      </c>
      <c r="BH137" s="146">
        <f>$C$87</f>
        <v>136.80000000000001</v>
      </c>
      <c r="BI137" s="156">
        <f>(BE137)*BF137*BG137*BH137</f>
        <v>4070.8484412293083</v>
      </c>
      <c r="BJ137" s="141"/>
      <c r="BK137" s="141"/>
      <c r="BL137" s="141"/>
      <c r="BM137" s="141"/>
    </row>
    <row r="138" spans="1:65" ht="15.4" thickBot="1" x14ac:dyDescent="0.45">
      <c r="AJ138" s="111" t="s">
        <v>224</v>
      </c>
      <c r="AK138" s="105"/>
      <c r="AL138" s="105"/>
      <c r="AM138" s="105"/>
      <c r="AX138" s="53" t="s">
        <v>94</v>
      </c>
      <c r="AY138" s="146">
        <f>AZ120</f>
        <v>226.61362284354556</v>
      </c>
      <c r="AZ138" s="143">
        <f>AY120</f>
        <v>7.0974999999999996E-2</v>
      </c>
      <c r="BA138" s="146">
        <f>$C$87</f>
        <v>136.80000000000001</v>
      </c>
      <c r="BB138" s="153">
        <f t="shared" si="3"/>
        <v>2200.2777773646644</v>
      </c>
      <c r="BC138" s="141"/>
      <c r="BD138" s="151" t="s">
        <v>155</v>
      </c>
      <c r="BE138" s="156">
        <f>BB142+SUM(BI136:BI137)</f>
        <v>21055.696247964701</v>
      </c>
      <c r="BF138" s="141" t="s">
        <v>145</v>
      </c>
      <c r="BG138" s="141"/>
      <c r="BH138" s="141"/>
      <c r="BI138" s="141"/>
      <c r="BJ138" s="141"/>
      <c r="BK138" s="141"/>
      <c r="BL138" s="141"/>
      <c r="BM138" s="141"/>
    </row>
    <row r="139" spans="1:65" ht="14.25" thickBot="1" x14ac:dyDescent="0.45">
      <c r="B139" s="7"/>
      <c r="C139" s="7"/>
      <c r="D139" s="117" t="s">
        <v>252</v>
      </c>
      <c r="E139" s="277">
        <v>105</v>
      </c>
      <c r="F139" s="105" t="s">
        <v>253</v>
      </c>
      <c r="AJ139" s="105"/>
      <c r="AK139" s="105"/>
      <c r="AL139" s="105"/>
      <c r="AM139" s="105"/>
      <c r="AX139" s="53" t="s">
        <v>95</v>
      </c>
      <c r="AY139" s="146">
        <f>AZ121</f>
        <v>226.61362284354556</v>
      </c>
      <c r="AZ139" s="143">
        <f>AY121</f>
        <v>0.22700000000000001</v>
      </c>
      <c r="BA139" s="146">
        <f>$BA$133*$C$87</f>
        <v>54.720000000000006</v>
      </c>
      <c r="BB139" s="153">
        <f t="shared" si="3"/>
        <v>2814.8675193337308</v>
      </c>
      <c r="BC139" s="141"/>
      <c r="BD139" s="141"/>
      <c r="BE139" s="141"/>
      <c r="BF139" s="141"/>
      <c r="BG139" s="141"/>
      <c r="BH139" s="141"/>
      <c r="BI139" s="141"/>
      <c r="BJ139" s="141"/>
      <c r="BK139" s="141"/>
      <c r="BL139" s="141"/>
      <c r="BM139" s="141"/>
    </row>
    <row r="140" spans="1:65" x14ac:dyDescent="0.4">
      <c r="B140" s="7"/>
      <c r="C140" s="49"/>
      <c r="D140" s="295" t="s">
        <v>254</v>
      </c>
      <c r="E140" s="295" t="s">
        <v>255</v>
      </c>
      <c r="F140" s="295" t="s">
        <v>256</v>
      </c>
      <c r="AJ140" s="105" t="s">
        <v>204</v>
      </c>
      <c r="AK140" s="105" t="s">
        <v>225</v>
      </c>
      <c r="AL140" s="105">
        <v>175</v>
      </c>
      <c r="AM140" s="105" t="s">
        <v>226</v>
      </c>
      <c r="AX140" s="53" t="s">
        <v>162</v>
      </c>
      <c r="AY140" s="146">
        <f>AZ122</f>
        <v>5.9</v>
      </c>
      <c r="AZ140" s="143">
        <f>AY122</f>
        <v>0.56779999999999997</v>
      </c>
      <c r="BA140" s="146">
        <f>$C$87</f>
        <v>136.80000000000001</v>
      </c>
      <c r="BB140" s="153">
        <f t="shared" si="3"/>
        <v>458.28273600000006</v>
      </c>
      <c r="BC140" s="141"/>
      <c r="BD140" s="141"/>
      <c r="BE140" s="141"/>
      <c r="BF140" s="141"/>
      <c r="BG140" s="141"/>
      <c r="BH140" s="141"/>
      <c r="BI140" s="141"/>
      <c r="BJ140" s="141"/>
      <c r="BK140" s="141"/>
      <c r="BL140" s="141"/>
      <c r="BM140" s="141"/>
    </row>
    <row r="141" spans="1:65" ht="17.649999999999999" x14ac:dyDescent="0.5">
      <c r="B141" s="164" t="s">
        <v>259</v>
      </c>
      <c r="C141" s="163" t="s">
        <v>260</v>
      </c>
      <c r="D141" s="295"/>
      <c r="E141" s="295"/>
      <c r="F141" s="295"/>
      <c r="AJ141" s="105"/>
      <c r="AK141" s="105" t="s">
        <v>227</v>
      </c>
      <c r="AL141" s="105">
        <v>225</v>
      </c>
      <c r="AM141" s="105" t="s">
        <v>226</v>
      </c>
      <c r="AX141" s="53" t="s">
        <v>166</v>
      </c>
      <c r="AY141" s="146">
        <f>SUM(BA127:BA130)</f>
        <v>19.5</v>
      </c>
      <c r="AZ141" s="143">
        <f>AVERAGE(AY127:AY130)</f>
        <v>1</v>
      </c>
      <c r="BA141" s="146">
        <f>$C$87</f>
        <v>136.80000000000001</v>
      </c>
      <c r="BB141" s="153">
        <f t="shared" si="3"/>
        <v>2667.6000000000004</v>
      </c>
      <c r="BC141" s="141"/>
      <c r="BD141" s="141"/>
      <c r="BE141" s="141"/>
      <c r="BF141" s="141"/>
      <c r="BG141" s="141"/>
      <c r="BH141" s="141"/>
      <c r="BI141" s="141"/>
      <c r="BJ141" s="141"/>
      <c r="BK141" s="141"/>
      <c r="BL141" s="141"/>
      <c r="BM141" s="141"/>
    </row>
    <row r="142" spans="1:65" ht="15" x14ac:dyDescent="0.4">
      <c r="B142" s="105" t="s">
        <v>262</v>
      </c>
      <c r="C142" s="216">
        <v>0.15</v>
      </c>
      <c r="D142" s="217">
        <v>0.6</v>
      </c>
      <c r="E142" s="112">
        <f t="shared" ref="E142:E147" si="4">D142/1000*$E$139</f>
        <v>6.3E-2</v>
      </c>
      <c r="F142" s="112">
        <f t="shared" ref="F142:F147" si="5">C142+E142</f>
        <v>0.21299999999999999</v>
      </c>
      <c r="AJ142" s="105"/>
      <c r="AK142" s="105" t="s">
        <v>228</v>
      </c>
      <c r="AL142" s="105">
        <v>90</v>
      </c>
      <c r="AM142" s="105" t="s">
        <v>226</v>
      </c>
      <c r="AX142" s="53"/>
      <c r="AY142" s="141"/>
      <c r="AZ142" s="141"/>
      <c r="BA142" s="141" t="s">
        <v>109</v>
      </c>
      <c r="BB142" s="156">
        <f>SUM(BB136:BB141)</f>
        <v>14877.432851353959</v>
      </c>
      <c r="BC142" s="141"/>
      <c r="BD142" s="141"/>
      <c r="BE142" s="141"/>
      <c r="BF142" s="141"/>
      <c r="BG142" s="141"/>
      <c r="BH142" s="141"/>
      <c r="BI142" s="141"/>
      <c r="BJ142" s="141"/>
      <c r="BK142" s="141"/>
      <c r="BL142" s="141"/>
      <c r="BM142" s="141"/>
    </row>
    <row r="143" spans="1:65" x14ac:dyDescent="0.4">
      <c r="B143" s="105" t="s">
        <v>264</v>
      </c>
      <c r="C143" s="216">
        <v>0.15</v>
      </c>
      <c r="D143" s="217">
        <v>0</v>
      </c>
      <c r="E143" s="112">
        <f t="shared" si="4"/>
        <v>0</v>
      </c>
      <c r="F143" s="112">
        <f t="shared" si="5"/>
        <v>0.15</v>
      </c>
      <c r="AJ143" s="105"/>
      <c r="AK143" s="105" t="s">
        <v>229</v>
      </c>
      <c r="AL143" s="105">
        <v>140</v>
      </c>
      <c r="AM143" s="105" t="s">
        <v>226</v>
      </c>
      <c r="AP143" s="9"/>
      <c r="AX143" s="53"/>
      <c r="AY143" s="141"/>
      <c r="AZ143" s="141"/>
      <c r="BA143" s="141"/>
      <c r="BB143" s="141"/>
      <c r="BC143" s="141"/>
      <c r="BD143" s="141"/>
      <c r="BE143" s="141"/>
      <c r="BF143" s="141"/>
      <c r="BG143" s="141"/>
      <c r="BH143" s="141"/>
      <c r="BI143" s="141"/>
      <c r="BJ143" s="141"/>
      <c r="BK143" s="141"/>
      <c r="BL143" s="141"/>
      <c r="BM143" s="141"/>
    </row>
    <row r="144" spans="1:65" ht="15" x14ac:dyDescent="0.4">
      <c r="B144" s="105" t="s">
        <v>265</v>
      </c>
      <c r="C144" s="216">
        <f>AK165</f>
        <v>2.1893684210526315E-2</v>
      </c>
      <c r="D144" s="217">
        <v>0.25</v>
      </c>
      <c r="E144" s="112">
        <f t="shared" si="4"/>
        <v>2.6249999999999999E-2</v>
      </c>
      <c r="F144" s="112">
        <f t="shared" si="5"/>
        <v>4.8143684210526311E-2</v>
      </c>
      <c r="AJ144" s="105" t="s">
        <v>88</v>
      </c>
      <c r="AK144" s="105" t="s">
        <v>230</v>
      </c>
      <c r="AL144" s="105">
        <v>0.6</v>
      </c>
      <c r="AM144" s="105" t="s">
        <v>231</v>
      </c>
      <c r="AX144" s="62" t="s">
        <v>172</v>
      </c>
      <c r="AY144" s="141"/>
      <c r="AZ144" s="141"/>
      <c r="BA144" s="141"/>
      <c r="BB144" s="141"/>
      <c r="BC144" s="141"/>
      <c r="BD144" s="141"/>
      <c r="BE144" s="155" t="s">
        <v>173</v>
      </c>
      <c r="BF144" s="141"/>
      <c r="BG144" s="141"/>
      <c r="BH144" s="141"/>
      <c r="BI144" s="141"/>
      <c r="BJ144" s="141"/>
      <c r="BK144" s="141"/>
      <c r="BL144" s="141"/>
      <c r="BM144" s="141"/>
    </row>
    <row r="145" spans="1:185" x14ac:dyDescent="0.4">
      <c r="B145" s="105" t="s">
        <v>267</v>
      </c>
      <c r="C145" s="216">
        <f>0.02+0.25/1000*170</f>
        <v>6.25E-2</v>
      </c>
      <c r="D145" s="217">
        <v>0</v>
      </c>
      <c r="E145" s="112">
        <f t="shared" si="4"/>
        <v>0</v>
      </c>
      <c r="F145" s="112">
        <f t="shared" si="5"/>
        <v>6.25E-2</v>
      </c>
      <c r="AJ145" s="105"/>
      <c r="AK145" s="105" t="s">
        <v>232</v>
      </c>
      <c r="AL145" s="105">
        <v>2.6</v>
      </c>
      <c r="AM145" s="105" t="s">
        <v>231</v>
      </c>
      <c r="AX145" s="58" t="s">
        <v>117</v>
      </c>
      <c r="AY145" s="57" t="s">
        <v>177</v>
      </c>
      <c r="AZ145" s="57" t="s">
        <v>119</v>
      </c>
      <c r="BA145" s="57" t="s">
        <v>120</v>
      </c>
      <c r="BB145" s="57" t="s">
        <v>178</v>
      </c>
      <c r="BC145" s="151" t="s">
        <v>145</v>
      </c>
      <c r="BD145" s="141"/>
      <c r="BE145" s="151" t="s">
        <v>179</v>
      </c>
      <c r="BF145" s="151" t="s">
        <v>180</v>
      </c>
      <c r="BG145" s="151" t="s">
        <v>181</v>
      </c>
      <c r="BH145" s="151" t="s">
        <v>145</v>
      </c>
      <c r="BI145" s="141"/>
      <c r="BJ145" s="141"/>
      <c r="BK145" s="141"/>
      <c r="BL145" s="141"/>
      <c r="BM145" s="141"/>
    </row>
    <row r="146" spans="1:185" x14ac:dyDescent="0.4">
      <c r="B146" s="105" t="s">
        <v>268</v>
      </c>
      <c r="C146" s="216">
        <f>AK177/AK176</f>
        <v>0.1271186440677966</v>
      </c>
      <c r="D146" s="217">
        <v>0.27</v>
      </c>
      <c r="E146" s="112">
        <f t="shared" si="4"/>
        <v>2.835E-2</v>
      </c>
      <c r="F146" s="112">
        <f t="shared" si="5"/>
        <v>0.15546864406779659</v>
      </c>
      <c r="AJ146" s="105"/>
      <c r="AK146" s="105" t="s">
        <v>233</v>
      </c>
      <c r="AL146" s="105">
        <v>1.7</v>
      </c>
      <c r="AM146" s="105" t="s">
        <v>231</v>
      </c>
      <c r="AX146" s="53" t="s">
        <v>116</v>
      </c>
      <c r="AY146" s="144">
        <f>75%*95%*85%*75%</f>
        <v>0.45421874999999989</v>
      </c>
      <c r="AZ146" s="143">
        <f t="shared" ref="AZ146:BA149" si="6">AZ127</f>
        <v>0.37</v>
      </c>
      <c r="BA146" s="146">
        <f t="shared" si="6"/>
        <v>5.57</v>
      </c>
      <c r="BB146" s="141">
        <v>133</v>
      </c>
      <c r="BC146" s="153">
        <f>AY146*AZ146*BA146*BB146</f>
        <v>124.50122310937496</v>
      </c>
      <c r="BD146" s="141"/>
      <c r="BE146" s="141">
        <v>215</v>
      </c>
      <c r="BF146" s="141">
        <v>2.5</v>
      </c>
      <c r="BG146" s="146">
        <f>tfa</f>
        <v>414.53711495770534</v>
      </c>
      <c r="BH146" s="157">
        <f>0.024*BE146*BF146*BG146</f>
        <v>5347.5287829543995</v>
      </c>
      <c r="BI146" s="141"/>
      <c r="BJ146" s="141"/>
      <c r="BK146" s="141"/>
      <c r="BL146" s="141"/>
      <c r="BM146" s="141"/>
    </row>
    <row r="147" spans="1:185" x14ac:dyDescent="0.4">
      <c r="B147" s="105" t="s">
        <v>269</v>
      </c>
      <c r="C147" s="216">
        <v>7.4999999999999997E-2</v>
      </c>
      <c r="D147" s="217">
        <v>0</v>
      </c>
      <c r="E147" s="112">
        <f t="shared" si="4"/>
        <v>0</v>
      </c>
      <c r="F147" s="112">
        <f t="shared" si="5"/>
        <v>7.4999999999999997E-2</v>
      </c>
      <c r="U147" s="7"/>
      <c r="AJ147" s="105" t="s">
        <v>235</v>
      </c>
      <c r="AK147" s="105" t="s">
        <v>236</v>
      </c>
      <c r="AL147" s="105">
        <v>5.3</v>
      </c>
      <c r="AM147" s="105" t="s">
        <v>231</v>
      </c>
      <c r="AX147" s="53" t="s">
        <v>128</v>
      </c>
      <c r="AY147" s="144">
        <f>75%*95%*85%*75%</f>
        <v>0.45421874999999989</v>
      </c>
      <c r="AZ147" s="143">
        <f t="shared" si="6"/>
        <v>0.37</v>
      </c>
      <c r="BA147" s="146">
        <f t="shared" si="6"/>
        <v>1.1100000000000001</v>
      </c>
      <c r="BB147" s="141">
        <v>374</v>
      </c>
      <c r="BC147" s="153">
        <f>AY147*AZ147*BA147*BB147</f>
        <v>69.768817593749986</v>
      </c>
      <c r="BD147" s="141"/>
      <c r="BE147" s="141"/>
      <c r="BF147" s="141"/>
      <c r="BG147" s="141"/>
      <c r="BH147" s="141"/>
      <c r="BI147" s="141"/>
      <c r="BJ147" s="141"/>
      <c r="BK147" s="141"/>
      <c r="BL147" s="141"/>
      <c r="BM147" s="141"/>
    </row>
    <row r="148" spans="1:185" s="4" customFormat="1" ht="15.4" thickBot="1" x14ac:dyDescent="0.45">
      <c r="A148" s="1"/>
      <c r="B148" s="105" t="s">
        <v>271</v>
      </c>
      <c r="C148" s="7"/>
      <c r="D148" s="7"/>
      <c r="E148" s="7"/>
      <c r="F148" s="7"/>
      <c r="G148" s="1"/>
      <c r="H148" s="1"/>
      <c r="I148" s="1"/>
      <c r="J148" s="1"/>
      <c r="K148" s="1"/>
      <c r="L148" s="1"/>
      <c r="M148" s="1"/>
      <c r="N148" s="1"/>
      <c r="O148" s="1"/>
      <c r="P148" s="1"/>
      <c r="Q148" s="1"/>
      <c r="R148" s="1"/>
      <c r="S148" s="1"/>
      <c r="T148" s="1"/>
      <c r="U148" s="73"/>
      <c r="V148" s="7"/>
      <c r="W148" s="7"/>
      <c r="X148" s="7"/>
      <c r="Y148" s="7"/>
      <c r="Z148" s="7"/>
      <c r="AA148" s="7"/>
      <c r="AB148" s="7"/>
      <c r="AC148" s="7"/>
      <c r="AD148" s="7"/>
      <c r="AE148" s="7"/>
      <c r="AF148" s="7"/>
      <c r="AG148" s="7"/>
      <c r="AH148" s="7"/>
      <c r="AI148" s="7"/>
      <c r="AJ148" s="105"/>
      <c r="AK148" s="105" t="s">
        <v>237</v>
      </c>
      <c r="AL148" s="105">
        <v>6.3</v>
      </c>
      <c r="AM148" s="105" t="s">
        <v>231</v>
      </c>
      <c r="AN148" s="7"/>
      <c r="AO148" s="7"/>
      <c r="AP148" s="7"/>
      <c r="AQ148" s="7"/>
      <c r="AR148" s="7"/>
      <c r="AS148" s="7"/>
      <c r="AT148" s="7"/>
      <c r="AU148" s="7"/>
      <c r="AV148" s="7"/>
      <c r="AW148" s="7"/>
      <c r="AX148" s="53" t="s">
        <v>191</v>
      </c>
      <c r="AY148" s="144">
        <f>75%*95%*85%*75%</f>
        <v>0.45421874999999989</v>
      </c>
      <c r="AZ148" s="143">
        <f t="shared" si="6"/>
        <v>0.37</v>
      </c>
      <c r="BA148" s="146">
        <f t="shared" si="6"/>
        <v>9.1999999999999993</v>
      </c>
      <c r="BB148" s="141">
        <v>790</v>
      </c>
      <c r="BC148" s="153">
        <f>AY148*AZ148*BA148*BB148</f>
        <v>1221.4668937499996</v>
      </c>
      <c r="BD148" s="141"/>
      <c r="BE148" s="151" t="s">
        <v>192</v>
      </c>
      <c r="BF148" s="156">
        <f>BC150+BH146</f>
        <v>6995.6671042200242</v>
      </c>
      <c r="BG148" s="141" t="s">
        <v>145</v>
      </c>
      <c r="BH148" s="141"/>
      <c r="BI148" s="141"/>
      <c r="BJ148" s="141"/>
      <c r="BK148" s="141"/>
      <c r="BL148" s="141"/>
      <c r="BM148" s="141"/>
      <c r="BN148" s="7"/>
      <c r="BO148" s="7"/>
      <c r="BP148" s="7"/>
      <c r="BQ148" s="7"/>
      <c r="BR148" s="7"/>
      <c r="BS148" s="7"/>
      <c r="BT148" s="7"/>
      <c r="BU148" s="7"/>
      <c r="BV148" s="7"/>
      <c r="BW148" s="7"/>
      <c r="BX148" s="7"/>
      <c r="BY148" s="7"/>
      <c r="BZ148" s="7"/>
      <c r="CA148" s="7"/>
      <c r="CB148" s="7"/>
      <c r="CC148" s="7"/>
      <c r="CD148" s="7"/>
      <c r="CE148" s="7"/>
      <c r="CF148" s="7"/>
      <c r="CG148" s="7"/>
      <c r="CH148" s="7"/>
      <c r="CI148" s="7"/>
      <c r="CJ148" s="7"/>
      <c r="CK148" s="7"/>
      <c r="CL148" s="7"/>
      <c r="CM148" s="7"/>
      <c r="CN148" s="7"/>
      <c r="CO148" s="7"/>
      <c r="CP148" s="7"/>
      <c r="CQ148" s="7"/>
      <c r="CR148" s="7"/>
      <c r="CS148" s="7"/>
      <c r="CT148" s="7"/>
      <c r="CU148" s="7"/>
      <c r="CV148" s="7"/>
      <c r="CW148" s="7"/>
      <c r="CX148" s="7"/>
      <c r="CY148" s="7"/>
      <c r="CZ148" s="7"/>
      <c r="DA148" s="7"/>
      <c r="DB148" s="7"/>
      <c r="DC148" s="7"/>
      <c r="DD148" s="7"/>
      <c r="DE148" s="7"/>
      <c r="DF148" s="7"/>
      <c r="DG148" s="7"/>
      <c r="DH148" s="7"/>
      <c r="DI148" s="7"/>
      <c r="DJ148" s="7"/>
      <c r="DK148" s="7"/>
      <c r="DL148" s="7"/>
      <c r="DM148" s="7"/>
      <c r="DN148" s="7"/>
      <c r="DO148" s="7"/>
      <c r="DP148" s="7"/>
      <c r="DQ148" s="7"/>
      <c r="DR148" s="7"/>
      <c r="DS148" s="7"/>
      <c r="DT148" s="7"/>
      <c r="DU148" s="7"/>
      <c r="DV148" s="7"/>
      <c r="DW148" s="7"/>
      <c r="DX148" s="7"/>
      <c r="DY148" s="7"/>
      <c r="DZ148" s="7"/>
      <c r="EA148" s="7"/>
      <c r="EB148" s="7"/>
      <c r="EC148" s="7"/>
      <c r="ED148" s="7"/>
      <c r="EE148" s="7"/>
      <c r="EF148" s="7"/>
      <c r="EG148" s="7"/>
      <c r="EH148" s="7"/>
      <c r="EI148" s="7"/>
      <c r="EJ148" s="7"/>
      <c r="EK148" s="7"/>
      <c r="EL148" s="7"/>
      <c r="EM148" s="7"/>
      <c r="EN148" s="7"/>
      <c r="EO148" s="7"/>
      <c r="EP148" s="7"/>
      <c r="EQ148" s="7"/>
      <c r="ER148" s="7"/>
      <c r="ES148" s="7"/>
      <c r="ET148" s="7"/>
      <c r="EU148" s="7"/>
      <c r="EV148" s="7"/>
      <c r="EW148" s="7"/>
      <c r="EX148" s="7"/>
      <c r="EY148" s="7"/>
      <c r="EZ148" s="7"/>
      <c r="FA148" s="7"/>
      <c r="FB148" s="7"/>
      <c r="FC148" s="7"/>
      <c r="FD148" s="7"/>
      <c r="FE148" s="7"/>
      <c r="FF148" s="7"/>
      <c r="FG148" s="7"/>
      <c r="FH148" s="7"/>
      <c r="FI148" s="7"/>
      <c r="FJ148" s="7"/>
      <c r="FK148" s="7"/>
      <c r="FL148" s="7"/>
      <c r="FM148" s="7"/>
      <c r="FN148" s="7"/>
      <c r="FO148" s="7"/>
      <c r="FP148" s="7"/>
      <c r="FQ148" s="7"/>
      <c r="FR148" s="7"/>
      <c r="FS148" s="7"/>
      <c r="FT148" s="7"/>
      <c r="FU148" s="7"/>
      <c r="FV148" s="7"/>
      <c r="FW148" s="7"/>
      <c r="FX148" s="7"/>
      <c r="FY148" s="7"/>
      <c r="FZ148" s="7"/>
      <c r="GA148" s="7"/>
      <c r="GB148" s="7"/>
      <c r="GC148" s="7"/>
    </row>
    <row r="149" spans="1:185" ht="14.65" thickBot="1" x14ac:dyDescent="0.5">
      <c r="A149" s="179" t="s">
        <v>154</v>
      </c>
      <c r="B149" s="4"/>
      <c r="C149" s="4"/>
      <c r="D149" s="4"/>
      <c r="E149" s="4"/>
      <c r="F149" s="4"/>
      <c r="G149" s="4"/>
      <c r="H149" s="4"/>
      <c r="I149" s="4"/>
      <c r="J149" s="179" t="s">
        <v>154</v>
      </c>
      <c r="K149" s="4"/>
      <c r="L149" s="4"/>
      <c r="M149" s="4"/>
      <c r="N149" s="4"/>
      <c r="O149" s="4"/>
      <c r="P149" s="4"/>
      <c r="Q149" s="4"/>
      <c r="R149" s="4"/>
      <c r="S149" s="4"/>
      <c r="T149" s="4"/>
      <c r="U149" s="99"/>
      <c r="AJ149" s="105"/>
      <c r="AK149" s="105" t="s">
        <v>238</v>
      </c>
      <c r="AL149" s="105">
        <v>4.2</v>
      </c>
      <c r="AM149" s="105" t="s">
        <v>231</v>
      </c>
      <c r="AX149" s="53" t="s">
        <v>131</v>
      </c>
      <c r="AY149" s="144">
        <f>75%*95%*85%*75%</f>
        <v>0.45421874999999989</v>
      </c>
      <c r="AZ149" s="143">
        <f t="shared" si="6"/>
        <v>0.37</v>
      </c>
      <c r="BA149" s="146">
        <f t="shared" si="6"/>
        <v>3.62</v>
      </c>
      <c r="BB149" s="141">
        <v>382</v>
      </c>
      <c r="BC149" s="153">
        <f>AY149*AZ149*BA149*BB149</f>
        <v>232.40138681249994</v>
      </c>
      <c r="BD149" s="141"/>
      <c r="BE149" s="158" t="s">
        <v>194</v>
      </c>
      <c r="BF149" s="159">
        <v>0.85</v>
      </c>
      <c r="BG149" s="141"/>
      <c r="BH149" s="141"/>
      <c r="BI149" s="141"/>
      <c r="BJ149" s="141"/>
      <c r="BK149" s="141"/>
      <c r="BL149" s="141"/>
      <c r="BM149" s="141"/>
    </row>
    <row r="150" spans="1:185" ht="27.75" x14ac:dyDescent="0.75">
      <c r="A150" s="74" t="s">
        <v>273</v>
      </c>
      <c r="B150" s="20" t="s">
        <v>274</v>
      </c>
      <c r="J150" s="74" t="s">
        <v>273</v>
      </c>
      <c r="K150" s="20" t="s">
        <v>275</v>
      </c>
      <c r="S150" s="297" t="s">
        <v>276</v>
      </c>
      <c r="T150" s="297"/>
      <c r="U150" s="99"/>
      <c r="AJ150" s="105"/>
      <c r="AK150" s="105" t="s">
        <v>239</v>
      </c>
      <c r="AL150" s="105">
        <v>5.2</v>
      </c>
      <c r="AM150" s="105" t="s">
        <v>231</v>
      </c>
      <c r="AX150" s="53"/>
      <c r="AY150" s="141"/>
      <c r="AZ150" s="141"/>
      <c r="BA150" s="141"/>
      <c r="BB150" s="141" t="s">
        <v>109</v>
      </c>
      <c r="BC150" s="156">
        <f>SUM(BC146:BC149)</f>
        <v>1648.1383212656247</v>
      </c>
      <c r="BD150" s="141"/>
      <c r="BE150" s="141"/>
      <c r="BF150" s="141"/>
      <c r="BG150" s="141"/>
      <c r="BH150" s="141"/>
      <c r="BI150" s="141"/>
      <c r="BJ150" s="141"/>
      <c r="BK150" s="141"/>
      <c r="BL150" s="141"/>
      <c r="BM150" s="141"/>
    </row>
    <row r="151" spans="1:185" x14ac:dyDescent="0.4">
      <c r="B151" s="90" t="s">
        <v>43</v>
      </c>
      <c r="C151" s="32">
        <f>BE73/1000*1.1</f>
        <v>31.388263238535298</v>
      </c>
      <c r="D151" s="26" t="s">
        <v>277</v>
      </c>
      <c r="E151" s="26"/>
      <c r="F151" s="26"/>
      <c r="G151" s="34">
        <f>C151*3410</f>
        <v>107033.97764340536</v>
      </c>
      <c r="H151" s="26" t="s">
        <v>278</v>
      </c>
      <c r="I151" s="7"/>
      <c r="K151" s="94" t="s">
        <v>43</v>
      </c>
      <c r="L151" s="32">
        <f>BE123/1000*1.1</f>
        <v>14.0919304189083</v>
      </c>
      <c r="M151" s="26" t="s">
        <v>277</v>
      </c>
      <c r="N151" s="26"/>
      <c r="O151" s="26"/>
      <c r="P151" s="34">
        <f>L151*3410</f>
        <v>48053.482728477305</v>
      </c>
      <c r="Q151" s="26" t="s">
        <v>278</v>
      </c>
      <c r="R151" s="7"/>
      <c r="S151" s="296">
        <f>-(L151-C151)/C151</f>
        <v>0.55104459549683937</v>
      </c>
      <c r="T151" s="296"/>
      <c r="AJ151" s="105" t="s">
        <v>241</v>
      </c>
      <c r="AK151" s="105" t="s">
        <v>242</v>
      </c>
      <c r="AL151" s="105">
        <v>9.6999999999999993</v>
      </c>
      <c r="AM151" s="105" t="s">
        <v>231</v>
      </c>
      <c r="AX151" s="53"/>
      <c r="AY151" s="141"/>
      <c r="AZ151" s="141"/>
      <c r="BA151" s="141"/>
      <c r="BB151" s="141"/>
      <c r="BC151" s="141"/>
      <c r="BD151" s="141"/>
      <c r="BE151" s="141"/>
      <c r="BF151" s="141"/>
      <c r="BG151" s="141"/>
      <c r="BH151" s="141"/>
      <c r="BI151" s="141"/>
      <c r="BJ151" s="141"/>
      <c r="BK151" s="141"/>
      <c r="BL151" s="141"/>
      <c r="BM151" s="141"/>
    </row>
    <row r="152" spans="1:185" ht="15.4" thickBot="1" x14ac:dyDescent="0.45">
      <c r="B152" s="91" t="s">
        <v>279</v>
      </c>
      <c r="C152" s="33">
        <f>BM73/1000</f>
        <v>9.1797859378713724</v>
      </c>
      <c r="D152" s="4" t="s">
        <v>277</v>
      </c>
      <c r="E152" s="4"/>
      <c r="F152" s="4"/>
      <c r="G152" s="35">
        <f>C152*3410/12000</f>
        <v>2.6085891706784485</v>
      </c>
      <c r="H152" s="4" t="s">
        <v>280</v>
      </c>
      <c r="I152" s="7"/>
      <c r="K152" s="95" t="s">
        <v>279</v>
      </c>
      <c r="L152" s="33">
        <f>BM123/1000</f>
        <v>6.926938027500122</v>
      </c>
      <c r="M152" s="4" t="s">
        <v>277</v>
      </c>
      <c r="N152" s="4"/>
      <c r="O152" s="4"/>
      <c r="P152" s="35">
        <f>L152*3410/12000</f>
        <v>1.9684048894812847</v>
      </c>
      <c r="Q152" s="4" t="s">
        <v>280</v>
      </c>
      <c r="R152" s="7"/>
      <c r="S152" s="296">
        <f>-(L152-C152)/C152</f>
        <v>0.24541399174430481</v>
      </c>
      <c r="T152" s="296"/>
      <c r="AJ152" s="105"/>
      <c r="AK152" s="105" t="s">
        <v>243</v>
      </c>
      <c r="AL152" s="105">
        <v>4.4000000000000004</v>
      </c>
      <c r="AM152" s="105" t="s">
        <v>231</v>
      </c>
      <c r="AX152" s="62" t="s">
        <v>199</v>
      </c>
      <c r="AY152" s="156">
        <f>BE138-(BF148*BF149)</f>
        <v>15109.379209377679</v>
      </c>
      <c r="AZ152" s="155" t="s">
        <v>145</v>
      </c>
      <c r="BA152" s="141"/>
      <c r="BB152" s="141"/>
      <c r="BC152" s="141"/>
      <c r="BD152" s="141"/>
      <c r="BE152" s="141"/>
      <c r="BF152" s="141"/>
      <c r="BG152" s="141"/>
      <c r="BH152" s="141"/>
      <c r="BI152" s="141"/>
      <c r="BJ152" s="141"/>
      <c r="BK152" s="141"/>
      <c r="BL152" s="141"/>
      <c r="BM152" s="141"/>
    </row>
    <row r="153" spans="1:185" ht="15" x14ac:dyDescent="0.4">
      <c r="U153" s="201"/>
      <c r="AX153" s="62" t="s">
        <v>202</v>
      </c>
      <c r="AY153" s="156">
        <f>AY152/tfa</f>
        <v>36.448797138271367</v>
      </c>
      <c r="AZ153" s="155" t="s">
        <v>203</v>
      </c>
      <c r="BA153" s="141"/>
      <c r="BB153" s="141"/>
      <c r="BC153" s="141"/>
      <c r="BD153" s="141"/>
      <c r="BE153" s="141"/>
      <c r="BF153" s="141"/>
      <c r="BG153" s="141"/>
      <c r="BH153" s="141"/>
      <c r="BI153" s="141"/>
      <c r="BJ153" s="141"/>
      <c r="BK153" s="141"/>
      <c r="BL153" s="141"/>
      <c r="BM153" s="141"/>
    </row>
    <row r="154" spans="1:185" x14ac:dyDescent="0.4">
      <c r="U154" s="99"/>
      <c r="AO154" s="9"/>
      <c r="AX154" s="1"/>
      <c r="AY154" s="82"/>
      <c r="AZ154" s="82"/>
      <c r="BA154" s="82"/>
      <c r="BB154" s="82"/>
      <c r="BC154" s="82"/>
      <c r="BD154" s="82"/>
      <c r="BE154" s="82"/>
      <c r="BF154" s="82"/>
      <c r="BG154" s="82"/>
      <c r="BH154" s="82"/>
      <c r="BI154" s="82"/>
      <c r="BJ154" s="82"/>
      <c r="BK154" s="82"/>
      <c r="BL154" s="82"/>
      <c r="BM154" s="82"/>
    </row>
    <row r="155" spans="1:185" x14ac:dyDescent="0.4">
      <c r="B155" s="78" t="s">
        <v>282</v>
      </c>
      <c r="K155" s="80" t="s">
        <v>282</v>
      </c>
      <c r="S155" s="299"/>
      <c r="T155" s="299"/>
      <c r="U155" s="99"/>
      <c r="AX155" s="1"/>
      <c r="AY155" s="82"/>
      <c r="AZ155" s="82"/>
      <c r="BA155" s="82"/>
      <c r="BB155" s="82"/>
      <c r="BC155" s="82"/>
      <c r="BD155" s="82"/>
      <c r="BE155" s="82"/>
      <c r="BF155" s="82"/>
      <c r="BG155" s="82"/>
      <c r="BH155" s="82"/>
      <c r="BI155" s="82"/>
      <c r="BJ155" s="82"/>
      <c r="BK155" s="82"/>
      <c r="BL155" s="82"/>
      <c r="BM155" s="82"/>
    </row>
    <row r="156" spans="1:185" x14ac:dyDescent="0.4">
      <c r="B156" s="90" t="s">
        <v>284</v>
      </c>
      <c r="C156" s="29">
        <f>AY102/D128+850</f>
        <v>41000.644395049465</v>
      </c>
      <c r="D156" s="26" t="s">
        <v>214</v>
      </c>
      <c r="E156" s="26"/>
      <c r="F156" s="26"/>
      <c r="G156" s="34">
        <f>C156*3.6</f>
        <v>147602.31982217808</v>
      </c>
      <c r="H156" s="26" t="s">
        <v>285</v>
      </c>
      <c r="I156" s="7"/>
      <c r="K156" s="94" t="s">
        <v>284</v>
      </c>
      <c r="L156" s="29">
        <f>AY152/M128+850</f>
        <v>8404.6896046888396</v>
      </c>
      <c r="M156" s="26" t="s">
        <v>214</v>
      </c>
      <c r="N156" s="26"/>
      <c r="O156" s="26"/>
      <c r="P156" s="34">
        <f>L156*3.6</f>
        <v>30256.882576879823</v>
      </c>
      <c r="Q156" s="26" t="s">
        <v>285</v>
      </c>
      <c r="R156" s="7"/>
      <c r="S156" s="296">
        <f>-(L156-C156)/C156</f>
        <v>0.79501079242296868</v>
      </c>
      <c r="T156" s="296"/>
      <c r="U156" s="99"/>
      <c r="AJ156" s="111" t="s">
        <v>247</v>
      </c>
      <c r="AK156" s="105"/>
      <c r="AL156" s="105"/>
      <c r="AM156" s="105"/>
      <c r="AX156" s="1"/>
      <c r="AY156" s="82"/>
      <c r="AZ156" s="82"/>
      <c r="BA156" s="82"/>
      <c r="BB156" s="82"/>
      <c r="BC156" s="82"/>
      <c r="BD156" s="82"/>
      <c r="BE156" s="82"/>
      <c r="BF156" s="82"/>
      <c r="BG156" s="82"/>
      <c r="BH156" s="82"/>
      <c r="BI156" s="82"/>
      <c r="BJ156" s="82"/>
      <c r="BK156" s="82"/>
      <c r="BL156" s="82"/>
      <c r="BM156" s="82"/>
    </row>
    <row r="157" spans="1:185" ht="14.25" customHeight="1" x14ac:dyDescent="0.4">
      <c r="B157" s="92" t="s">
        <v>287</v>
      </c>
      <c r="C157" s="30">
        <f>(25*D134+LOOKUP(F$130,$AM$129:$AM$130,$AN$129:$AN$130)+$AN$132)/D130*(1-D131)*units</f>
        <v>4842.105263157895</v>
      </c>
      <c r="D157" s="7" t="s">
        <v>214</v>
      </c>
      <c r="E157" s="7"/>
      <c r="F157" s="7"/>
      <c r="G157" s="36">
        <f>C157*3.6</f>
        <v>17431.578947368424</v>
      </c>
      <c r="H157" s="7" t="s">
        <v>285</v>
      </c>
      <c r="I157" s="7"/>
      <c r="K157" s="96" t="s">
        <v>287</v>
      </c>
      <c r="L157" s="30">
        <f>(25*M134+LOOKUP(O$130,$AM$129:$AM$130,$AN$129:$AN$130)+$AN$132)/M130*(1-M131)*units</f>
        <v>1092.3913043478262</v>
      </c>
      <c r="M157" s="7" t="s">
        <v>214</v>
      </c>
      <c r="N157" s="7"/>
      <c r="O157" s="7"/>
      <c r="P157" s="36">
        <f>L157*3.6</f>
        <v>3932.6086956521744</v>
      </c>
      <c r="Q157" s="7" t="s">
        <v>285</v>
      </c>
      <c r="R157" s="7"/>
      <c r="S157" s="296">
        <f>-(L157-C157)/C157</f>
        <v>0.77439744801512289</v>
      </c>
      <c r="T157" s="296"/>
      <c r="U157" s="100"/>
      <c r="AJ157" s="105"/>
      <c r="AK157" s="105" t="s">
        <v>248</v>
      </c>
      <c r="AL157" s="105"/>
      <c r="AM157" s="105"/>
    </row>
    <row r="158" spans="1:185" x14ac:dyDescent="0.4">
      <c r="B158" s="92" t="s">
        <v>288</v>
      </c>
      <c r="C158" s="30">
        <f>SUM(D$135:D$137)*365*units</f>
        <v>4124.5</v>
      </c>
      <c r="D158" s="7" t="s">
        <v>214</v>
      </c>
      <c r="E158" s="7"/>
      <c r="F158" s="7"/>
      <c r="G158" s="36">
        <f>C158*3.6</f>
        <v>14848.2</v>
      </c>
      <c r="H158" s="7" t="s">
        <v>285</v>
      </c>
      <c r="I158" s="7"/>
      <c r="K158" s="96" t="s">
        <v>288</v>
      </c>
      <c r="L158" s="30">
        <f>SUM(M$135:M$137)*365*units</f>
        <v>3357.9999999999995</v>
      </c>
      <c r="M158" s="7" t="s">
        <v>214</v>
      </c>
      <c r="N158" s="7"/>
      <c r="O158" s="7"/>
      <c r="P158" s="36">
        <f>L158*3.6</f>
        <v>12088.8</v>
      </c>
      <c r="Q158" s="7" t="s">
        <v>285</v>
      </c>
      <c r="R158" s="7"/>
      <c r="S158" s="296">
        <f>-(L158-C158)/C158</f>
        <v>0.18584070796460189</v>
      </c>
      <c r="T158" s="296"/>
      <c r="AJ158" s="105"/>
      <c r="AK158" s="106">
        <f>AK159*1000/3.6</f>
        <v>10.555555555555555</v>
      </c>
      <c r="AL158" s="105" t="s">
        <v>250</v>
      </c>
      <c r="AM158" s="105"/>
    </row>
    <row r="159" spans="1:185" ht="14.25" thickBot="1" x14ac:dyDescent="0.45">
      <c r="B159" s="91" t="s">
        <v>289</v>
      </c>
      <c r="C159" s="68">
        <f>SUM(C156:C158)</f>
        <v>49967.249658207358</v>
      </c>
      <c r="D159" s="4" t="s">
        <v>214</v>
      </c>
      <c r="E159" s="4"/>
      <c r="F159" s="4"/>
      <c r="G159" s="37">
        <f>C159*3.6</f>
        <v>179882.09876954649</v>
      </c>
      <c r="H159" s="4" t="s">
        <v>285</v>
      </c>
      <c r="I159" s="7"/>
      <c r="K159" s="95" t="s">
        <v>289</v>
      </c>
      <c r="L159" s="68">
        <f>SUM(L156:L158)</f>
        <v>12855.080909036666</v>
      </c>
      <c r="M159" s="4" t="s">
        <v>214</v>
      </c>
      <c r="N159" s="4"/>
      <c r="O159" s="4"/>
      <c r="P159" s="37">
        <f>L159*3.6</f>
        <v>46278.291272531998</v>
      </c>
      <c r="Q159" s="4" t="s">
        <v>285</v>
      </c>
      <c r="R159" s="7"/>
      <c r="S159" s="298">
        <f>-(L159-C159)/C159</f>
        <v>0.74272986812422725</v>
      </c>
      <c r="T159" s="298"/>
      <c r="U159" s="100"/>
      <c r="AJ159" s="105"/>
      <c r="AK159" s="105">
        <v>3.7999999999999999E-2</v>
      </c>
      <c r="AL159" s="105" t="s">
        <v>251</v>
      </c>
      <c r="AM159" s="105"/>
    </row>
    <row r="160" spans="1:185" x14ac:dyDescent="0.4">
      <c r="S160" s="17"/>
      <c r="W160" s="64"/>
      <c r="AJ160" s="105"/>
      <c r="AK160" s="105"/>
      <c r="AL160" s="105"/>
      <c r="AM160" s="105"/>
    </row>
    <row r="161" spans="1:186" ht="17.649999999999999" x14ac:dyDescent="0.5">
      <c r="B161" s="93" t="s">
        <v>202</v>
      </c>
      <c r="C161" s="31">
        <f>AY103</f>
        <v>92.013744485071456</v>
      </c>
      <c r="D161" s="18" t="s">
        <v>290</v>
      </c>
      <c r="E161" s="161" t="s">
        <v>291</v>
      </c>
      <c r="I161" s="19"/>
      <c r="K161" s="97" t="s">
        <v>202</v>
      </c>
      <c r="L161" s="31">
        <f>AY153</f>
        <v>36.448797138271367</v>
      </c>
      <c r="M161" s="18" t="s">
        <v>290</v>
      </c>
      <c r="Q161" s="19"/>
      <c r="R161" s="19"/>
      <c r="S161" s="298">
        <f>-(L161-C161)/C161</f>
        <v>0.60387660188978709</v>
      </c>
      <c r="T161" s="298"/>
      <c r="U161" s="66"/>
      <c r="AJ161" s="117" t="s">
        <v>257</v>
      </c>
      <c r="AK161" s="108">
        <f>0.0924/AK159</f>
        <v>2.4315789473684211</v>
      </c>
      <c r="AL161" s="105" t="s">
        <v>258</v>
      </c>
      <c r="AM161" s="105"/>
    </row>
    <row r="162" spans="1:186" x14ac:dyDescent="0.4">
      <c r="E162" s="162" t="s">
        <v>292</v>
      </c>
      <c r="N162" s="7"/>
      <c r="O162" s="7"/>
      <c r="U162" s="101"/>
      <c r="AJ162" s="105"/>
      <c r="AK162" s="118">
        <f>AK161*0.0036</f>
        <v>8.7536842105263163E-3</v>
      </c>
      <c r="AL162" s="105" t="s">
        <v>261</v>
      </c>
      <c r="AM162" s="105"/>
    </row>
    <row r="163" spans="1:186" ht="14.25" thickBot="1" x14ac:dyDescent="0.45">
      <c r="B163" s="78" t="s">
        <v>293</v>
      </c>
      <c r="D163" s="1" t="s">
        <v>176</v>
      </c>
      <c r="E163" s="6"/>
      <c r="K163" s="80" t="s">
        <v>293</v>
      </c>
      <c r="M163" s="1" t="s">
        <v>176</v>
      </c>
      <c r="N163" s="11"/>
      <c r="O163" s="7"/>
      <c r="S163" s="307" t="s">
        <v>455</v>
      </c>
      <c r="T163" s="307"/>
      <c r="U163" s="101"/>
      <c r="AJ163" s="117" t="s">
        <v>263</v>
      </c>
      <c r="AK163" s="105">
        <v>3.65</v>
      </c>
      <c r="AL163" s="105" t="s">
        <v>258</v>
      </c>
      <c r="AM163" s="105"/>
    </row>
    <row r="164" spans="1:186" x14ac:dyDescent="0.4">
      <c r="A164" s="70" t="s">
        <v>13</v>
      </c>
      <c r="B164" s="90" t="s">
        <v>284</v>
      </c>
      <c r="C164" s="27">
        <f>LOOKUP(D164,$B$142:$B$147,$F$142:$F$147)*C156+IF(OR(D$164=$B$142,D164=$B$143),0,278.4)</f>
        <v>2252.3220761833468</v>
      </c>
      <c r="D164" s="292" t="s">
        <v>265</v>
      </c>
      <c r="E164" s="293"/>
      <c r="J164" s="70" t="s">
        <v>13</v>
      </c>
      <c r="K164" s="94" t="s">
        <v>284</v>
      </c>
      <c r="L164" s="27">
        <f>LOOKUP(M164,$B$142:$B$147,$F$142:$F$147)*L156+IF(OR(M$164=$B$142,M164=$B$143),0,278.4)</f>
        <v>1260.7034407033259</v>
      </c>
      <c r="M164" s="292" t="s">
        <v>264</v>
      </c>
      <c r="N164" s="293"/>
      <c r="O164" s="7"/>
      <c r="S164" s="306">
        <f>C164-L164</f>
        <v>991.61863548002088</v>
      </c>
      <c r="T164" s="306"/>
      <c r="U164" s="101"/>
      <c r="AJ164" s="105"/>
      <c r="AK164" s="112">
        <f>AK163*0.0036</f>
        <v>1.3139999999999999E-2</v>
      </c>
      <c r="AL164" s="105" t="s">
        <v>261</v>
      </c>
      <c r="AM164" s="105"/>
    </row>
    <row r="165" spans="1:186" x14ac:dyDescent="0.4">
      <c r="A165" s="70" t="s">
        <v>13</v>
      </c>
      <c r="B165" s="92" t="s">
        <v>287</v>
      </c>
      <c r="C165" s="28">
        <f>LOOKUP(D165,$B$142:$B$147,$F$142:$F$147)*C157</f>
        <v>233.11678670360109</v>
      </c>
      <c r="D165" s="290" t="s">
        <v>265</v>
      </c>
      <c r="E165" s="291"/>
      <c r="J165" s="70" t="s">
        <v>13</v>
      </c>
      <c r="K165" s="96" t="s">
        <v>287</v>
      </c>
      <c r="L165" s="28">
        <f>LOOKUP(M165,$B$142:$B$147,$F$142:$F$147)*L157</f>
        <v>163.85869565217394</v>
      </c>
      <c r="M165" s="290" t="s">
        <v>264</v>
      </c>
      <c r="N165" s="291"/>
      <c r="O165" s="7"/>
      <c r="S165" s="306">
        <f>C165-L165</f>
        <v>69.258091051427158</v>
      </c>
      <c r="T165" s="306"/>
      <c r="U165" s="102"/>
      <c r="AJ165" s="117" t="s">
        <v>266</v>
      </c>
      <c r="AK165" s="112">
        <f>AK164+AK162</f>
        <v>2.1893684210526315E-2</v>
      </c>
      <c r="AL165" s="105" t="s">
        <v>261</v>
      </c>
      <c r="AM165" s="105"/>
      <c r="BN165" s="67"/>
      <c r="GD165" s="7"/>
    </row>
    <row r="166" spans="1:186" ht="14.25" thickBot="1" x14ac:dyDescent="0.45">
      <c r="A166" s="70" t="s">
        <v>13</v>
      </c>
      <c r="B166" s="92" t="s">
        <v>288</v>
      </c>
      <c r="C166" s="28">
        <f>LOOKUP(D166,$B$142:$B$147,$F$142:$F$147)*C158</f>
        <v>878.51850000000002</v>
      </c>
      <c r="D166" s="288" t="s">
        <v>262</v>
      </c>
      <c r="E166" s="289"/>
      <c r="J166" s="70" t="s">
        <v>13</v>
      </c>
      <c r="K166" s="96" t="s">
        <v>288</v>
      </c>
      <c r="L166" s="28">
        <f>LOOKUP(M166,$B$142:$B$147,$F$142:$F$147)*L158</f>
        <v>503.69999999999993</v>
      </c>
      <c r="M166" s="288" t="s">
        <v>264</v>
      </c>
      <c r="N166" s="289"/>
      <c r="O166" s="7"/>
      <c r="S166" s="306">
        <f>C166-L166</f>
        <v>374.81850000000009</v>
      </c>
      <c r="T166" s="306"/>
      <c r="AJ166" s="105"/>
      <c r="AK166" s="105"/>
      <c r="AL166" s="105"/>
      <c r="AM166" s="105"/>
    </row>
    <row r="167" spans="1:186" ht="14.25" thickBot="1" x14ac:dyDescent="0.45">
      <c r="B167" s="91" t="s">
        <v>453</v>
      </c>
      <c r="C167" s="69">
        <f>SUM(C164:C166)</f>
        <v>3363.957362886948</v>
      </c>
      <c r="D167" s="198"/>
      <c r="E167" s="4"/>
      <c r="K167" s="95" t="s">
        <v>453</v>
      </c>
      <c r="L167" s="69">
        <f>SUM(L164:L166)</f>
        <v>1928.2621363554999</v>
      </c>
      <c r="M167" s="198"/>
      <c r="N167" s="4"/>
      <c r="S167" s="305">
        <f>(C167-L167)</f>
        <v>1435.695226531448</v>
      </c>
      <c r="T167" s="305"/>
      <c r="AJ167" s="105"/>
      <c r="AK167" s="105" t="s">
        <v>252</v>
      </c>
      <c r="AL167" s="105"/>
      <c r="AM167" s="105"/>
    </row>
    <row r="168" spans="1:186" ht="16.149999999999999" x14ac:dyDescent="0.55000000000000004">
      <c r="V168" s="199"/>
      <c r="AJ168" s="105"/>
      <c r="AK168" s="105">
        <v>0.25</v>
      </c>
      <c r="AL168" s="105" t="s">
        <v>270</v>
      </c>
      <c r="AM168" s="105"/>
    </row>
    <row r="169" spans="1:186" x14ac:dyDescent="0.4">
      <c r="AJ169" s="105"/>
      <c r="AK169" s="105">
        <v>170</v>
      </c>
      <c r="AL169" s="105" t="s">
        <v>272</v>
      </c>
      <c r="AM169" s="105"/>
    </row>
    <row r="170" spans="1:186" x14ac:dyDescent="0.4">
      <c r="U170" s="7"/>
      <c r="AJ170" s="105"/>
      <c r="AK170" s="118">
        <f>AK168*AK169/1000</f>
        <v>4.2500000000000003E-2</v>
      </c>
      <c r="AL170" s="105" t="s">
        <v>261</v>
      </c>
      <c r="AM170" s="105"/>
    </row>
    <row r="171" spans="1:186" x14ac:dyDescent="0.4">
      <c r="AJ171" s="105"/>
      <c r="AK171" s="105"/>
      <c r="AL171" s="105"/>
      <c r="AM171" s="105"/>
    </row>
    <row r="172" spans="1:186" ht="14.65" thickBot="1" x14ac:dyDescent="0.5">
      <c r="A172" s="179" t="s">
        <v>154</v>
      </c>
      <c r="B172" s="4"/>
      <c r="C172" s="4"/>
      <c r="D172" s="4"/>
      <c r="E172" s="4"/>
      <c r="F172" s="4"/>
      <c r="G172" s="4"/>
      <c r="H172" s="4"/>
      <c r="I172" s="4"/>
      <c r="J172" s="179" t="s">
        <v>154</v>
      </c>
      <c r="K172" s="4"/>
      <c r="L172" s="4"/>
      <c r="M172" s="4"/>
      <c r="N172" s="4"/>
      <c r="O172" s="4"/>
      <c r="P172" s="4"/>
      <c r="Q172" s="4"/>
      <c r="R172" s="4"/>
      <c r="S172" s="4"/>
      <c r="T172" s="4"/>
      <c r="AJ172" s="105"/>
      <c r="AK172" s="112">
        <f>AK165+AK170</f>
        <v>6.4393684210526325E-2</v>
      </c>
      <c r="AL172" s="105" t="s">
        <v>261</v>
      </c>
      <c r="AM172" s="105"/>
    </row>
    <row r="173" spans="1:186" ht="27.75" x14ac:dyDescent="0.75">
      <c r="A173" s="74" t="s">
        <v>294</v>
      </c>
      <c r="B173" s="20" t="s">
        <v>295</v>
      </c>
      <c r="J173" s="74" t="s">
        <v>294</v>
      </c>
      <c r="K173" s="20" t="s">
        <v>296</v>
      </c>
      <c r="AJ173" s="111"/>
      <c r="AK173" s="105"/>
      <c r="AL173" s="105"/>
      <c r="AM173" s="105"/>
    </row>
    <row r="174" spans="1:186" x14ac:dyDescent="0.4">
      <c r="AJ174" s="105"/>
      <c r="AK174" s="105"/>
      <c r="AL174" s="105"/>
      <c r="AM174" s="105"/>
    </row>
    <row r="175" spans="1:186" x14ac:dyDescent="0.4">
      <c r="V175" s="1"/>
      <c r="W175" s="1"/>
      <c r="AJ175" s="105"/>
      <c r="AK175" s="105" t="s">
        <v>281</v>
      </c>
      <c r="AL175" s="105"/>
      <c r="AM175" s="105"/>
      <c r="AP175" s="11"/>
      <c r="AS175" s="11"/>
    </row>
    <row r="176" spans="1:186" x14ac:dyDescent="0.4">
      <c r="AJ176" s="105"/>
      <c r="AK176" s="105">
        <v>7.08</v>
      </c>
      <c r="AL176" s="105" t="s">
        <v>283</v>
      </c>
      <c r="AM176" s="105"/>
    </row>
    <row r="177" spans="2:187" x14ac:dyDescent="0.4">
      <c r="B177" s="21"/>
      <c r="C177" s="22"/>
      <c r="D177" s="22"/>
      <c r="E177" s="22"/>
      <c r="F177" s="22"/>
      <c r="G177" s="22"/>
      <c r="H177" s="22"/>
      <c r="I177" s="22"/>
      <c r="J177" s="22"/>
      <c r="K177" s="21"/>
      <c r="L177" s="22"/>
      <c r="M177" s="22"/>
      <c r="N177" s="22"/>
      <c r="O177" s="22"/>
      <c r="P177" s="22"/>
      <c r="Q177" s="22"/>
      <c r="R177" s="22"/>
      <c r="AJ177" s="105"/>
      <c r="AK177" s="105">
        <v>0.9</v>
      </c>
      <c r="AL177" s="105" t="s">
        <v>286</v>
      </c>
      <c r="AM177" s="105"/>
    </row>
    <row r="178" spans="2:187" x14ac:dyDescent="0.4">
      <c r="B178" s="21"/>
      <c r="C178" s="23"/>
      <c r="D178" s="22"/>
      <c r="E178" s="22"/>
      <c r="F178" s="22"/>
      <c r="G178" s="22"/>
      <c r="H178" s="22"/>
      <c r="I178" s="22"/>
      <c r="J178" s="22"/>
      <c r="K178" s="21"/>
      <c r="L178" s="23"/>
      <c r="M178" s="22"/>
      <c r="N178" s="22"/>
      <c r="O178" s="22"/>
      <c r="P178" s="22"/>
      <c r="Q178" s="22"/>
      <c r="R178" s="22"/>
      <c r="AJ178" s="105"/>
      <c r="AK178" s="112">
        <f>AK177/AK176</f>
        <v>0.1271186440677966</v>
      </c>
      <c r="AL178" s="105" t="s">
        <v>261</v>
      </c>
      <c r="AM178" s="105"/>
    </row>
    <row r="179" spans="2:187" x14ac:dyDescent="0.4">
      <c r="B179" s="21"/>
      <c r="C179" s="23"/>
      <c r="D179" s="22"/>
      <c r="E179" s="22"/>
      <c r="F179" s="23"/>
      <c r="G179" s="22"/>
      <c r="H179" s="22"/>
      <c r="I179" s="22"/>
      <c r="J179" s="22"/>
      <c r="K179" s="21"/>
      <c r="L179" s="23"/>
      <c r="M179" s="22"/>
      <c r="N179" s="22"/>
      <c r="O179" s="23"/>
      <c r="P179" s="22"/>
      <c r="Q179" s="22"/>
      <c r="R179" s="22"/>
      <c r="AK179" s="15"/>
      <c r="AM179" s="15"/>
      <c r="AP179" s="15"/>
    </row>
    <row r="180" spans="2:187" ht="14.55" customHeight="1" x14ac:dyDescent="0.55000000000000004">
      <c r="B180" s="294" t="s">
        <v>297</v>
      </c>
      <c r="C180" s="186" t="s">
        <v>284</v>
      </c>
      <c r="D180" s="24"/>
      <c r="E180" s="181">
        <f>C156</f>
        <v>41000.644395049465</v>
      </c>
      <c r="F180" s="24"/>
      <c r="G180" s="24"/>
      <c r="H180" s="24"/>
      <c r="I180" s="24"/>
      <c r="J180" s="24"/>
      <c r="K180" s="294" t="s">
        <v>298</v>
      </c>
      <c r="L180" s="186" t="s">
        <v>284</v>
      </c>
      <c r="M180" s="24"/>
      <c r="N180" s="181">
        <f>L156</f>
        <v>8404.6896046888396</v>
      </c>
      <c r="O180" s="24"/>
      <c r="P180" s="24"/>
      <c r="Q180" s="24"/>
      <c r="R180" s="24"/>
      <c r="AK180" s="15"/>
      <c r="AM180" s="15"/>
      <c r="AP180" s="15"/>
      <c r="AX180" s="104" t="s">
        <v>299</v>
      </c>
      <c r="AY180" s="141"/>
      <c r="AZ180" s="141"/>
      <c r="BA180" s="141"/>
      <c r="BB180" s="141"/>
      <c r="BC180" s="141"/>
      <c r="BD180" s="141"/>
      <c r="BN180" s="67"/>
      <c r="GD180" s="7"/>
    </row>
    <row r="181" spans="2:187" ht="14.55" customHeight="1" x14ac:dyDescent="0.4">
      <c r="B181" s="294"/>
      <c r="C181" s="186" t="s">
        <v>287</v>
      </c>
      <c r="D181" s="24"/>
      <c r="E181" s="24"/>
      <c r="F181" s="181">
        <f>C157</f>
        <v>4842.105263157895</v>
      </c>
      <c r="G181" s="24"/>
      <c r="H181" s="24"/>
      <c r="I181" s="24"/>
      <c r="K181" s="294"/>
      <c r="L181" s="186" t="s">
        <v>287</v>
      </c>
      <c r="M181" s="24"/>
      <c r="N181" s="24"/>
      <c r="O181" s="181">
        <f>L157</f>
        <v>1092.3913043478262</v>
      </c>
      <c r="P181" s="24"/>
      <c r="Q181" s="24"/>
      <c r="R181" s="24"/>
      <c r="AK181" s="15"/>
      <c r="AM181" s="15"/>
      <c r="AP181" s="15"/>
      <c r="AX181" s="61" t="s">
        <v>300</v>
      </c>
      <c r="AY181" s="53"/>
      <c r="AZ181" s="53"/>
      <c r="BA181" s="53"/>
      <c r="BB181" s="60">
        <f>AVERAGE(BB182:BB191)</f>
        <v>102.5</v>
      </c>
      <c r="BC181" s="53"/>
      <c r="BD181" s="53"/>
      <c r="BN181" s="67"/>
      <c r="GD181" s="7"/>
    </row>
    <row r="182" spans="2:187" x14ac:dyDescent="0.4">
      <c r="B182" s="294"/>
      <c r="C182" s="186" t="s">
        <v>288</v>
      </c>
      <c r="D182" s="24"/>
      <c r="E182" s="24"/>
      <c r="F182" s="24"/>
      <c r="G182" s="181">
        <f>C158</f>
        <v>4124.5</v>
      </c>
      <c r="H182" s="24"/>
      <c r="I182" s="24"/>
      <c r="K182" s="294"/>
      <c r="L182" s="186" t="s">
        <v>288</v>
      </c>
      <c r="M182" s="24"/>
      <c r="N182" s="24"/>
      <c r="O182" s="24"/>
      <c r="P182" s="181">
        <f>L158</f>
        <v>3357.9999999999995</v>
      </c>
      <c r="Q182" s="24"/>
      <c r="R182" s="24"/>
      <c r="AX182" s="53">
        <v>1</v>
      </c>
      <c r="AY182" s="160">
        <f>-K224</f>
        <v>-49782.634478448119</v>
      </c>
      <c r="AZ182" s="160"/>
      <c r="BA182" s="160">
        <f>SUM(AY182:AZ182)</f>
        <v>-49782.634478448119</v>
      </c>
      <c r="BB182" s="53">
        <f t="shared" ref="BB182:BB189" si="7">BB183-15</f>
        <v>35</v>
      </c>
      <c r="BC182" s="266">
        <v>0.02</v>
      </c>
      <c r="BD182" s="267" t="s">
        <v>302</v>
      </c>
      <c r="BN182" s="67"/>
      <c r="BO182" s="67"/>
      <c r="GD182" s="7"/>
      <c r="GE182" s="7"/>
    </row>
    <row r="183" spans="2:187" ht="13.9" customHeight="1" x14ac:dyDescent="0.4">
      <c r="B183" s="294"/>
      <c r="C183" s="186" t="s">
        <v>301</v>
      </c>
      <c r="D183" s="24"/>
      <c r="E183" s="24"/>
      <c r="F183" s="24"/>
      <c r="G183" s="24"/>
      <c r="H183" s="182" t="s">
        <v>165</v>
      </c>
      <c r="I183" s="25"/>
      <c r="K183" s="294"/>
      <c r="L183" s="186" t="s">
        <v>301</v>
      </c>
      <c r="M183" s="24"/>
      <c r="N183" s="24"/>
      <c r="O183" s="24"/>
      <c r="P183" s="24"/>
      <c r="Q183" s="182" t="s">
        <v>165</v>
      </c>
      <c r="R183" s="25"/>
      <c r="AX183" s="53">
        <v>2</v>
      </c>
      <c r="AY183" s="160">
        <f t="shared" ref="AY183:AY202" si="8">$L$224</f>
        <v>3325.2353838631293</v>
      </c>
      <c r="AZ183" s="160"/>
      <c r="BA183" s="160">
        <f t="shared" ref="BA183:BA202" si="9">SUM(AY183:AZ183)</f>
        <v>3325.2353838631293</v>
      </c>
      <c r="BB183" s="53">
        <f t="shared" si="7"/>
        <v>50</v>
      </c>
      <c r="BC183" s="160">
        <f>-AY182-AY183</f>
        <v>46457.399094584987</v>
      </c>
      <c r="BD183" s="53"/>
      <c r="BN183" s="67"/>
      <c r="BO183" s="67"/>
      <c r="GD183" s="7"/>
      <c r="GE183" s="7"/>
    </row>
    <row r="184" spans="2:187" ht="13.9" customHeight="1" x14ac:dyDescent="0.4">
      <c r="B184" s="294"/>
      <c r="C184" s="186" t="s">
        <v>109</v>
      </c>
      <c r="D184" s="24"/>
      <c r="E184" s="181">
        <f>E180</f>
        <v>41000.644395049465</v>
      </c>
      <c r="F184" s="181">
        <f>F181</f>
        <v>4842.105263157895</v>
      </c>
      <c r="G184" s="181">
        <f>G182</f>
        <v>4124.5</v>
      </c>
      <c r="H184" s="182" t="str">
        <f>H183</f>
        <v>-</v>
      </c>
      <c r="I184" s="25"/>
      <c r="J184" s="25"/>
      <c r="K184" s="294"/>
      <c r="L184" s="186" t="s">
        <v>109</v>
      </c>
      <c r="M184" s="24"/>
      <c r="N184" s="181">
        <f>N180</f>
        <v>8404.6896046888396</v>
      </c>
      <c r="O184" s="181">
        <f>O181</f>
        <v>1092.3913043478262</v>
      </c>
      <c r="P184" s="181">
        <f>P182</f>
        <v>3357.9999999999995</v>
      </c>
      <c r="Q184" s="182" t="str">
        <f>Q183</f>
        <v>-</v>
      </c>
      <c r="R184" s="25"/>
      <c r="AX184" s="53">
        <v>3</v>
      </c>
      <c r="AY184" s="160">
        <f t="shared" si="8"/>
        <v>3325.2353838631293</v>
      </c>
      <c r="AZ184" s="160"/>
      <c r="BA184" s="160">
        <f t="shared" si="9"/>
        <v>3325.2353838631293</v>
      </c>
      <c r="BB184" s="53">
        <f t="shared" si="7"/>
        <v>65</v>
      </c>
      <c r="BC184" s="160">
        <f t="shared" ref="BC184:BC202" si="10">BC183-AY184</f>
        <v>43132.163710721856</v>
      </c>
      <c r="BD184" s="53"/>
      <c r="BN184" s="67"/>
      <c r="BO184" s="67"/>
      <c r="GD184" s="7"/>
      <c r="GE184" s="7"/>
    </row>
    <row r="185" spans="2:187" x14ac:dyDescent="0.4">
      <c r="B185" s="180" t="s">
        <v>303</v>
      </c>
      <c r="C185" s="186" t="str">
        <f>_xlfn.CONCAT(MROUND(D185/1032,0.1), " kW Solar Array")</f>
        <v>48.4 kW Solar Array</v>
      </c>
      <c r="D185" s="181">
        <f>SUM(E184:H184)</f>
        <v>49967.249658207358</v>
      </c>
      <c r="E185" s="24"/>
      <c r="F185" s="24"/>
      <c r="G185" s="24"/>
      <c r="H185" s="24"/>
      <c r="I185" s="24"/>
      <c r="J185" s="24"/>
      <c r="K185" s="180" t="s">
        <v>304</v>
      </c>
      <c r="L185" s="186" t="str">
        <f>_xlfn.CONCAT(MROUND(M185/1032,0.1), " kW Solar Array")</f>
        <v>12.5 kW Solar Array</v>
      </c>
      <c r="M185" s="181">
        <f>SUM(N184:Q184)</f>
        <v>12855.080909036666</v>
      </c>
      <c r="N185" s="24"/>
      <c r="O185" s="24"/>
      <c r="P185" s="24"/>
      <c r="Q185" s="24"/>
      <c r="R185" s="24"/>
      <c r="AX185" s="53">
        <v>4</v>
      </c>
      <c r="AY185" s="160">
        <f t="shared" si="8"/>
        <v>3325.2353838631293</v>
      </c>
      <c r="AZ185" s="160"/>
      <c r="BA185" s="160">
        <f t="shared" si="9"/>
        <v>3325.2353838631293</v>
      </c>
      <c r="BB185" s="53">
        <f t="shared" si="7"/>
        <v>80</v>
      </c>
      <c r="BC185" s="160">
        <f t="shared" si="10"/>
        <v>39806.928326858724</v>
      </c>
      <c r="BD185" s="53"/>
      <c r="BN185" s="67"/>
      <c r="BO185" s="67"/>
      <c r="GD185" s="7"/>
      <c r="GE185" s="7"/>
    </row>
    <row r="186" spans="2:187" x14ac:dyDescent="0.4">
      <c r="C186" s="2"/>
      <c r="AX186" s="53">
        <v>5</v>
      </c>
      <c r="AY186" s="160">
        <f t="shared" si="8"/>
        <v>3325.2353838631293</v>
      </c>
      <c r="AZ186" s="160"/>
      <c r="BA186" s="160">
        <f t="shared" si="9"/>
        <v>3325.2353838631293</v>
      </c>
      <c r="BB186" s="53">
        <f t="shared" si="7"/>
        <v>95</v>
      </c>
      <c r="BC186" s="160">
        <f t="shared" si="10"/>
        <v>36481.692942995593</v>
      </c>
      <c r="BD186" s="53"/>
      <c r="BN186" s="67"/>
      <c r="BO186" s="67"/>
      <c r="GD186" s="7"/>
      <c r="GE186" s="7"/>
    </row>
    <row r="187" spans="2:187" x14ac:dyDescent="0.4">
      <c r="AX187" s="53">
        <v>6</v>
      </c>
      <c r="AY187" s="160">
        <f t="shared" si="8"/>
        <v>3325.2353838631293</v>
      </c>
      <c r="AZ187" s="160"/>
      <c r="BA187" s="160">
        <f t="shared" si="9"/>
        <v>3325.2353838631293</v>
      </c>
      <c r="BB187" s="53">
        <f t="shared" si="7"/>
        <v>110</v>
      </c>
      <c r="BC187" s="160">
        <f t="shared" si="10"/>
        <v>33156.457559132461</v>
      </c>
      <c r="BD187" s="53"/>
      <c r="BN187" s="67"/>
      <c r="BO187" s="67"/>
      <c r="GD187" s="7"/>
      <c r="GE187" s="7"/>
    </row>
    <row r="188" spans="2:187" x14ac:dyDescent="0.4">
      <c r="AX188" s="53">
        <v>7</v>
      </c>
      <c r="AY188" s="160">
        <f t="shared" si="8"/>
        <v>3325.2353838631293</v>
      </c>
      <c r="AZ188" s="160"/>
      <c r="BA188" s="160">
        <f t="shared" si="9"/>
        <v>3325.2353838631293</v>
      </c>
      <c r="BB188" s="53">
        <f t="shared" si="7"/>
        <v>125</v>
      </c>
      <c r="BC188" s="160">
        <f t="shared" si="10"/>
        <v>29831.222175269333</v>
      </c>
      <c r="BD188" s="53"/>
      <c r="BN188" s="67"/>
      <c r="BO188" s="67"/>
      <c r="GD188" s="7"/>
      <c r="GE188" s="7"/>
    </row>
    <row r="189" spans="2:187" x14ac:dyDescent="0.4">
      <c r="AX189" s="53">
        <v>8</v>
      </c>
      <c r="AY189" s="160">
        <f t="shared" si="8"/>
        <v>3325.2353838631293</v>
      </c>
      <c r="AZ189" s="160"/>
      <c r="BA189" s="160">
        <f t="shared" si="9"/>
        <v>3325.2353838631293</v>
      </c>
      <c r="BB189" s="53">
        <f t="shared" si="7"/>
        <v>140</v>
      </c>
      <c r="BC189" s="160">
        <f t="shared" si="10"/>
        <v>26505.986791406205</v>
      </c>
      <c r="BD189" s="53"/>
      <c r="BN189" s="67"/>
      <c r="BO189" s="67"/>
      <c r="GD189" s="7"/>
      <c r="GE189" s="7"/>
    </row>
    <row r="190" spans="2:187" x14ac:dyDescent="0.4">
      <c r="V190" s="1"/>
      <c r="W190" s="1"/>
      <c r="AM190" s="15"/>
      <c r="AP190" s="15"/>
      <c r="AX190" s="53">
        <v>9</v>
      </c>
      <c r="AY190" s="160">
        <f t="shared" si="8"/>
        <v>3325.2353838631293</v>
      </c>
      <c r="AZ190" s="160"/>
      <c r="BA190" s="160">
        <f t="shared" si="9"/>
        <v>3325.2353838631293</v>
      </c>
      <c r="BB190" s="53">
        <f>BB191-15</f>
        <v>155</v>
      </c>
      <c r="BC190" s="160">
        <f t="shared" si="10"/>
        <v>23180.751407543077</v>
      </c>
      <c r="BD190" s="53"/>
      <c r="BE190" s="7"/>
      <c r="BF190" s="7"/>
      <c r="BN190" s="67"/>
      <c r="BO190" s="67"/>
      <c r="GD190" s="7"/>
      <c r="GE190" s="7"/>
    </row>
    <row r="191" spans="2:187" x14ac:dyDescent="0.4">
      <c r="AM191" s="15"/>
      <c r="AP191" s="15"/>
      <c r="AX191" s="53">
        <v>10</v>
      </c>
      <c r="AY191" s="160">
        <f t="shared" si="8"/>
        <v>3325.2353838631293</v>
      </c>
      <c r="AZ191" s="160"/>
      <c r="BA191" s="160">
        <f t="shared" si="9"/>
        <v>3325.2353838631293</v>
      </c>
      <c r="BB191" s="53">
        <v>170</v>
      </c>
      <c r="BC191" s="160">
        <f t="shared" si="10"/>
        <v>19855.516023679949</v>
      </c>
      <c r="BD191" s="53"/>
      <c r="BE191" s="7"/>
      <c r="BF191" s="7"/>
      <c r="BN191" s="67"/>
      <c r="BO191" s="67"/>
      <c r="GD191" s="7"/>
      <c r="GE191" s="7"/>
    </row>
    <row r="192" spans="2:187" x14ac:dyDescent="0.4">
      <c r="AM192" s="15"/>
      <c r="AP192" s="15"/>
      <c r="AX192" s="53">
        <v>11</v>
      </c>
      <c r="AY192" s="160">
        <f t="shared" si="8"/>
        <v>3325.2353838631293</v>
      </c>
      <c r="AZ192" s="160"/>
      <c r="BA192" s="160">
        <f t="shared" si="9"/>
        <v>3325.2353838631293</v>
      </c>
      <c r="BB192" s="53">
        <v>170</v>
      </c>
      <c r="BC192" s="160">
        <f t="shared" si="10"/>
        <v>16530.280639816821</v>
      </c>
      <c r="BD192" s="53"/>
      <c r="BE192" s="7"/>
      <c r="BF192" s="7"/>
      <c r="BN192" s="67"/>
      <c r="BO192" s="67"/>
      <c r="GD192" s="7"/>
      <c r="GE192" s="7"/>
    </row>
    <row r="193" spans="1:187" x14ac:dyDescent="0.4">
      <c r="V193" s="1"/>
      <c r="W193" s="1"/>
      <c r="X193" s="1"/>
      <c r="Y193" s="1"/>
      <c r="Z193" s="1"/>
      <c r="AA193" s="1"/>
      <c r="AB193" s="1"/>
      <c r="AC193" s="1"/>
      <c r="AD193" s="1"/>
      <c r="AE193" s="1"/>
      <c r="AF193" s="1"/>
      <c r="AM193" s="15"/>
      <c r="AP193" s="15"/>
      <c r="AX193" s="53">
        <v>12</v>
      </c>
      <c r="AY193" s="160">
        <f t="shared" si="8"/>
        <v>3325.2353838631293</v>
      </c>
      <c r="AZ193" s="160"/>
      <c r="BA193" s="160">
        <f t="shared" si="9"/>
        <v>3325.2353838631293</v>
      </c>
      <c r="BB193" s="53">
        <v>170</v>
      </c>
      <c r="BC193" s="160">
        <f t="shared" si="10"/>
        <v>13205.045255953692</v>
      </c>
      <c r="BD193" s="53"/>
      <c r="BE193" s="7"/>
      <c r="BF193" s="7"/>
      <c r="BN193" s="67"/>
      <c r="BO193" s="67"/>
      <c r="GD193" s="7"/>
      <c r="GE193" s="7"/>
    </row>
    <row r="194" spans="1:187" x14ac:dyDescent="0.4">
      <c r="V194" s="1"/>
      <c r="W194" s="1"/>
      <c r="X194" s="1"/>
      <c r="Y194" s="1"/>
      <c r="Z194" s="1"/>
      <c r="AA194" s="1"/>
      <c r="AB194" s="1"/>
      <c r="AC194" s="1"/>
      <c r="AD194" s="1"/>
      <c r="AE194" s="1"/>
      <c r="AF194" s="1"/>
      <c r="AM194" s="15"/>
      <c r="AP194" s="15"/>
      <c r="AX194" s="53">
        <v>13</v>
      </c>
      <c r="AY194" s="160">
        <f t="shared" si="8"/>
        <v>3325.2353838631293</v>
      </c>
      <c r="AZ194" s="160"/>
      <c r="BA194" s="160">
        <f t="shared" si="9"/>
        <v>3325.2353838631293</v>
      </c>
      <c r="BB194" s="53">
        <v>170</v>
      </c>
      <c r="BC194" s="160">
        <f t="shared" si="10"/>
        <v>9879.8098720905618</v>
      </c>
      <c r="BD194" s="53"/>
      <c r="BE194" s="7"/>
      <c r="BF194" s="7"/>
      <c r="BN194" s="67"/>
      <c r="BO194" s="67"/>
      <c r="GD194" s="7"/>
      <c r="GE194" s="7"/>
    </row>
    <row r="195" spans="1:187" x14ac:dyDescent="0.4">
      <c r="T195" s="220" t="str" cm="1">
        <f t="array" ref="T195">setchartaxis("BB","netzeroA","Max","Value","Primary",U200)</f>
        <v>Value Primary Max: 50000</v>
      </c>
      <c r="U195" s="221"/>
      <c r="V195" s="1"/>
      <c r="W195" s="1"/>
      <c r="X195" s="1"/>
      <c r="Y195" s="1"/>
      <c r="Z195" s="1"/>
      <c r="AA195" s="1"/>
      <c r="AB195" s="1"/>
      <c r="AC195" s="1"/>
      <c r="AD195" s="1"/>
      <c r="AE195" s="1"/>
      <c r="AF195" s="1"/>
      <c r="AK195" s="15"/>
      <c r="AM195" s="15"/>
      <c r="AP195" s="15"/>
      <c r="AX195" s="53">
        <v>14</v>
      </c>
      <c r="AY195" s="160">
        <f t="shared" si="8"/>
        <v>3325.2353838631293</v>
      </c>
      <c r="AZ195" s="160"/>
      <c r="BA195" s="160">
        <f t="shared" si="9"/>
        <v>3325.2353838631293</v>
      </c>
      <c r="BB195" s="53">
        <v>170</v>
      </c>
      <c r="BC195" s="160">
        <f t="shared" si="10"/>
        <v>6554.5744882274321</v>
      </c>
      <c r="BD195" s="53"/>
      <c r="BE195" s="7"/>
      <c r="BF195" s="7"/>
      <c r="BN195" s="67"/>
      <c r="BO195" s="67"/>
      <c r="GD195" s="7"/>
      <c r="GE195" s="7"/>
    </row>
    <row r="196" spans="1:187" x14ac:dyDescent="0.4">
      <c r="T196" s="220" t="str" cm="1">
        <f t="array" ref="T196">setchartaxis("BB","netzeroB","Max","Value","Primary",U200)</f>
        <v>Value Primary Max: 50000</v>
      </c>
      <c r="U196" s="222"/>
      <c r="V196" s="1"/>
      <c r="AF196" s="1"/>
      <c r="AX196" s="53">
        <v>15</v>
      </c>
      <c r="AY196" s="160">
        <f t="shared" si="8"/>
        <v>3325.2353838631293</v>
      </c>
      <c r="AZ196" s="160"/>
      <c r="BA196" s="160">
        <f t="shared" si="9"/>
        <v>3325.2353838631293</v>
      </c>
      <c r="BB196" s="53">
        <v>170</v>
      </c>
      <c r="BC196" s="160">
        <f t="shared" si="10"/>
        <v>3229.3391043643028</v>
      </c>
      <c r="BD196" s="53"/>
      <c r="BE196" s="7"/>
      <c r="BF196" s="7"/>
      <c r="BN196" s="67"/>
      <c r="BO196" s="67"/>
      <c r="GD196" s="7"/>
      <c r="GE196" s="7"/>
    </row>
    <row r="197" spans="1:187" x14ac:dyDescent="0.4">
      <c r="T197" s="222"/>
      <c r="U197" s="222"/>
      <c r="V197" s="1"/>
      <c r="AF197" s="1"/>
      <c r="AX197" s="53">
        <v>16</v>
      </c>
      <c r="AY197" s="160">
        <f t="shared" si="8"/>
        <v>3325.2353838631293</v>
      </c>
      <c r="AZ197" s="160"/>
      <c r="BA197" s="160">
        <f t="shared" si="9"/>
        <v>3325.2353838631293</v>
      </c>
      <c r="BB197" s="53">
        <v>170</v>
      </c>
      <c r="BC197" s="160">
        <f t="shared" si="10"/>
        <v>-95.896279498826516</v>
      </c>
      <c r="BD197" s="53"/>
      <c r="BE197" s="7"/>
      <c r="BF197" s="7"/>
      <c r="BN197" s="67"/>
      <c r="BO197" s="67"/>
      <c r="GD197" s="7"/>
      <c r="GE197" s="7"/>
    </row>
    <row r="198" spans="1:187" x14ac:dyDescent="0.4">
      <c r="T198" s="222"/>
      <c r="U198" s="222"/>
      <c r="V198" s="1"/>
      <c r="AF198" s="1"/>
      <c r="AX198" s="53">
        <v>17</v>
      </c>
      <c r="AY198" s="160">
        <f t="shared" si="8"/>
        <v>3325.2353838631293</v>
      </c>
      <c r="AZ198" s="160"/>
      <c r="BA198" s="160">
        <f t="shared" si="9"/>
        <v>3325.2353838631293</v>
      </c>
      <c r="BB198" s="53">
        <v>170</v>
      </c>
      <c r="BC198" s="160">
        <f t="shared" si="10"/>
        <v>-3421.1316633619558</v>
      </c>
      <c r="BD198" s="53"/>
      <c r="BE198" s="7"/>
      <c r="BF198" s="7"/>
      <c r="BN198" s="67"/>
      <c r="BO198" s="67"/>
      <c r="GD198" s="7"/>
      <c r="GE198" s="7"/>
    </row>
    <row r="199" spans="1:187" x14ac:dyDescent="0.4">
      <c r="U199" s="222"/>
      <c r="V199" s="1"/>
      <c r="AF199" s="1"/>
      <c r="AX199" s="53">
        <v>18</v>
      </c>
      <c r="AY199" s="160">
        <f t="shared" si="8"/>
        <v>3325.2353838631293</v>
      </c>
      <c r="AZ199" s="160"/>
      <c r="BA199" s="160">
        <f t="shared" si="9"/>
        <v>3325.2353838631293</v>
      </c>
      <c r="BB199" s="53">
        <v>170</v>
      </c>
      <c r="BC199" s="160">
        <f t="shared" si="10"/>
        <v>-6746.3670472250851</v>
      </c>
      <c r="BD199" s="53"/>
      <c r="BE199" s="7"/>
      <c r="BF199" s="7"/>
      <c r="BN199" s="67"/>
      <c r="BO199" s="67"/>
      <c r="GD199" s="7"/>
      <c r="GE199" s="7"/>
    </row>
    <row r="200" spans="1:187" x14ac:dyDescent="0.4">
      <c r="T200" s="223" t="s">
        <v>305</v>
      </c>
      <c r="U200" s="224">
        <f>ROUNDUP(D185,-4)</f>
        <v>50000</v>
      </c>
      <c r="V200" s="224">
        <f>ROUNDUP(E185,-4)</f>
        <v>0</v>
      </c>
      <c r="AF200" s="1"/>
      <c r="AX200" s="53">
        <v>19</v>
      </c>
      <c r="AY200" s="160">
        <f t="shared" si="8"/>
        <v>3325.2353838631293</v>
      </c>
      <c r="AZ200" s="160"/>
      <c r="BA200" s="160">
        <f t="shared" si="9"/>
        <v>3325.2353838631293</v>
      </c>
      <c r="BB200" s="53">
        <v>170</v>
      </c>
      <c r="BC200" s="160">
        <f t="shared" si="10"/>
        <v>-10071.602431088215</v>
      </c>
      <c r="BD200" s="53"/>
      <c r="BE200" s="7"/>
      <c r="BN200" s="67"/>
      <c r="BO200" s="67"/>
      <c r="GD200" s="7"/>
      <c r="GE200" s="7"/>
    </row>
    <row r="201" spans="1:187" x14ac:dyDescent="0.4">
      <c r="V201" s="1"/>
      <c r="W201" s="1"/>
      <c r="X201" s="1"/>
      <c r="Y201" s="1"/>
      <c r="Z201" s="1"/>
      <c r="AA201" s="1"/>
      <c r="AB201" s="1"/>
      <c r="AC201" s="1"/>
      <c r="AD201" s="1"/>
      <c r="AE201" s="1"/>
      <c r="AF201" s="1"/>
      <c r="AX201" s="53">
        <v>20</v>
      </c>
      <c r="AY201" s="160">
        <f t="shared" si="8"/>
        <v>3325.2353838631293</v>
      </c>
      <c r="AZ201" s="160"/>
      <c r="BA201" s="160">
        <f t="shared" si="9"/>
        <v>3325.2353838631293</v>
      </c>
      <c r="BB201" s="53">
        <v>170</v>
      </c>
      <c r="BC201" s="160">
        <f t="shared" si="10"/>
        <v>-13396.837814951345</v>
      </c>
      <c r="BD201" s="53"/>
      <c r="BE201" s="7"/>
      <c r="BN201" s="67"/>
      <c r="BO201" s="67"/>
      <c r="GD201" s="7"/>
      <c r="GE201" s="7"/>
    </row>
    <row r="202" spans="1:187" ht="14.65" thickBot="1" x14ac:dyDescent="0.5">
      <c r="A202" s="179" t="s">
        <v>154</v>
      </c>
      <c r="B202" s="4"/>
      <c r="C202" s="4"/>
      <c r="D202" s="4"/>
      <c r="E202" s="4"/>
      <c r="F202" s="4"/>
      <c r="G202" s="4"/>
      <c r="H202" s="4"/>
      <c r="I202" s="4"/>
      <c r="J202" s="179" t="s">
        <v>154</v>
      </c>
      <c r="K202" s="4"/>
      <c r="L202" s="4"/>
      <c r="M202" s="4"/>
      <c r="N202" s="4"/>
      <c r="O202" s="4"/>
      <c r="P202" s="4"/>
      <c r="Q202" s="4"/>
      <c r="R202" s="4"/>
      <c r="S202" s="4"/>
      <c r="T202" s="4"/>
      <c r="X202" s="1"/>
      <c r="Y202" s="1"/>
      <c r="Z202" s="1"/>
      <c r="AA202" s="1"/>
      <c r="AB202" s="1"/>
      <c r="AC202" s="1"/>
      <c r="AD202" s="1"/>
      <c r="AE202" s="1"/>
      <c r="AF202" s="1"/>
      <c r="AX202" s="53">
        <v>21</v>
      </c>
      <c r="AY202" s="160">
        <f t="shared" si="8"/>
        <v>3325.2353838631293</v>
      </c>
      <c r="AZ202" s="160"/>
      <c r="BA202" s="160">
        <f t="shared" si="9"/>
        <v>3325.2353838631293</v>
      </c>
      <c r="BB202" s="53">
        <v>170</v>
      </c>
      <c r="BC202" s="160">
        <f t="shared" si="10"/>
        <v>-16722.073198814473</v>
      </c>
      <c r="BD202" s="53"/>
      <c r="BE202" s="7"/>
      <c r="BN202" s="67"/>
      <c r="GD202" s="7"/>
    </row>
    <row r="203" spans="1:187" ht="27.75" x14ac:dyDescent="0.75">
      <c r="A203" s="74" t="s">
        <v>306</v>
      </c>
      <c r="B203" s="183" t="s">
        <v>307</v>
      </c>
      <c r="J203" s="74" t="s">
        <v>306</v>
      </c>
      <c r="K203" s="20" t="s">
        <v>504</v>
      </c>
      <c r="X203" s="1"/>
      <c r="Y203" s="1"/>
      <c r="Z203" s="1"/>
      <c r="AA203" s="1"/>
      <c r="AB203" s="1"/>
      <c r="AC203" s="1"/>
      <c r="AD203" s="1"/>
      <c r="AE203" s="1"/>
      <c r="AF203" s="1"/>
      <c r="BC203" s="7"/>
      <c r="BD203" s="7"/>
      <c r="BN203" s="67"/>
      <c r="GD203" s="7"/>
    </row>
    <row r="204" spans="1:187" ht="27.5" customHeight="1" x14ac:dyDescent="0.75">
      <c r="A204" s="85"/>
      <c r="J204" s="85"/>
      <c r="K204" s="20"/>
      <c r="R204" s="303" t="s">
        <v>479</v>
      </c>
      <c r="S204" s="261"/>
      <c r="AX204" s="9"/>
      <c r="AY204" s="9"/>
      <c r="AZ204" s="9"/>
      <c r="BA204" s="9" t="s">
        <v>476</v>
      </c>
      <c r="BB204" s="9" t="s">
        <v>474</v>
      </c>
      <c r="BC204" s="9" t="s">
        <v>480</v>
      </c>
      <c r="BD204" s="263" t="s">
        <v>470</v>
      </c>
      <c r="BE204" s="263" t="s">
        <v>471</v>
      </c>
      <c r="BF204" s="263"/>
      <c r="BG204" s="7"/>
      <c r="BN204" s="67"/>
      <c r="GD204" s="7"/>
    </row>
    <row r="205" spans="1:187" ht="28.15" thickBot="1" x14ac:dyDescent="0.8">
      <c r="A205" s="74"/>
      <c r="B205" s="86" t="s">
        <v>308</v>
      </c>
      <c r="J205" s="85"/>
      <c r="K205" s="188" t="s">
        <v>309</v>
      </c>
      <c r="L205" s="195" t="s">
        <v>505</v>
      </c>
      <c r="M205" s="196"/>
      <c r="N205" s="195" t="s">
        <v>310</v>
      </c>
      <c r="O205" s="251" t="s">
        <v>460</v>
      </c>
      <c r="P205" s="195" t="s">
        <v>311</v>
      </c>
      <c r="R205" s="303"/>
      <c r="S205" s="261"/>
      <c r="AG205" s="253"/>
      <c r="AH205" s="253"/>
      <c r="AI205" s="253"/>
      <c r="AX205" s="264" t="s">
        <v>481</v>
      </c>
      <c r="AY205" s="264" t="s">
        <v>467</v>
      </c>
      <c r="AZ205" s="264" t="s">
        <v>468</v>
      </c>
      <c r="BA205" s="264" t="s">
        <v>469</v>
      </c>
      <c r="BB205" s="264" t="s">
        <v>469</v>
      </c>
      <c r="BC205" s="264" t="s">
        <v>475</v>
      </c>
      <c r="BD205" s="264" t="s">
        <v>472</v>
      </c>
      <c r="BE205" s="264" t="s">
        <v>473</v>
      </c>
      <c r="BF205" s="264" t="s">
        <v>477</v>
      </c>
      <c r="BG205" s="264" t="s">
        <v>482</v>
      </c>
    </row>
    <row r="206" spans="1:187" x14ac:dyDescent="0.4">
      <c r="J206" s="1">
        <v>1</v>
      </c>
      <c r="K206" s="5" t="s">
        <v>503</v>
      </c>
      <c r="L206" s="232">
        <v>0</v>
      </c>
      <c r="M206" s="5" t="s">
        <v>456</v>
      </c>
      <c r="N206" s="232">
        <f>tfa</f>
        <v>414.53711495770534</v>
      </c>
      <c r="O206" s="229">
        <v>1</v>
      </c>
      <c r="P206" s="170">
        <f t="shared" ref="P206:P217" si="11">L206*N206*O206</f>
        <v>0</v>
      </c>
      <c r="R206" s="261">
        <f t="shared" ref="R206:R217" si="12">BA206*(BD206-BE206)/BF206</f>
        <v>0</v>
      </c>
      <c r="S206" s="261"/>
      <c r="AG206" s="257"/>
      <c r="AH206" s="257"/>
      <c r="AI206" s="257"/>
      <c r="AX206" s="254">
        <f>$L$228</f>
        <v>3.1399999999999997E-2</v>
      </c>
      <c r="AY206" s="253">
        <f>$K$228</f>
        <v>20</v>
      </c>
      <c r="AZ206" s="253">
        <v>50</v>
      </c>
      <c r="BA206" s="255">
        <f>AX206/(1-(1+AX206)^(-AY206))</f>
        <v>6.8088732498910537E-2</v>
      </c>
      <c r="BB206" s="255">
        <f>AX206/(1-(1+AX206)^(-AZ206))</f>
        <v>3.9904916468381998E-2</v>
      </c>
      <c r="BC206" s="256">
        <f>(1-(1+AX206)^(-AY206))/AX206</f>
        <v>14.686717806297843</v>
      </c>
      <c r="BD206" s="258">
        <f t="shared" ref="BD206:BD217" si="13">P206</f>
        <v>0</v>
      </c>
      <c r="BE206" s="258">
        <f>(1-BB206*BC206)*BD206</f>
        <v>0</v>
      </c>
      <c r="BF206" s="262">
        <f>($C$159-($L$159*(1-$Q$216)))*$O$206</f>
        <v>49967.249658207358</v>
      </c>
      <c r="BG206" s="262">
        <f>($C$159-($L$159*(1-$Q$216)))</f>
        <v>49967.249658207358</v>
      </c>
    </row>
    <row r="207" spans="1:187" x14ac:dyDescent="0.4">
      <c r="J207" s="1">
        <v>2</v>
      </c>
      <c r="K207" s="5" t="s">
        <v>216</v>
      </c>
      <c r="L207" s="233">
        <v>50</v>
      </c>
      <c r="M207" s="5" t="s">
        <v>462</v>
      </c>
      <c r="N207" s="233">
        <f>AZ118</f>
        <v>269.06757882212969</v>
      </c>
      <c r="O207" s="230">
        <v>1</v>
      </c>
      <c r="P207" s="170">
        <f t="shared" si="11"/>
        <v>13453.378941106484</v>
      </c>
      <c r="R207" s="261">
        <f t="shared" si="12"/>
        <v>8.3343601646578919E-2</v>
      </c>
      <c r="S207" s="261"/>
      <c r="AX207" s="254">
        <f t="shared" ref="AX207:AX217" si="14">$L$228</f>
        <v>3.1399999999999997E-2</v>
      </c>
      <c r="AY207" s="253">
        <f t="shared" ref="AY207:AY217" si="15">$K$228</f>
        <v>20</v>
      </c>
      <c r="AZ207" s="253">
        <v>50</v>
      </c>
      <c r="BA207" s="255">
        <f t="shared" ref="BA207:BA217" si="16">AX207/(1-(1+AX207)^(-AY207))</f>
        <v>6.8088732498910537E-2</v>
      </c>
      <c r="BB207" s="255">
        <f t="shared" ref="BB207:BB217" si="17">AX207/(1-(1+AX207)^(-AZ207))</f>
        <v>3.9904916468381998E-2</v>
      </c>
      <c r="BC207" s="256">
        <f t="shared" ref="BC207:BC217" si="18">(1-(1+AX207)^(-AY207))/AX207</f>
        <v>14.686717806297843</v>
      </c>
      <c r="BD207" s="258">
        <f t="shared" si="13"/>
        <v>13453.378941106484</v>
      </c>
      <c r="BE207" s="258">
        <f t="shared" ref="BE207:BE217" si="19">(1-BB207*BC207)*BD207</f>
        <v>5568.7269119189268</v>
      </c>
      <c r="BF207" s="10">
        <f>($BB$86-$BB$136)*$O$207</f>
        <v>6441.4778370017866</v>
      </c>
      <c r="BG207" s="10">
        <f>($BB$86-$BB$136)</f>
        <v>6441.4778370017866</v>
      </c>
    </row>
    <row r="208" spans="1:187" x14ac:dyDescent="0.4">
      <c r="J208" s="1">
        <v>3</v>
      </c>
      <c r="K208" s="5" t="s">
        <v>457</v>
      </c>
      <c r="L208" s="233">
        <v>30</v>
      </c>
      <c r="M208" s="5" t="s">
        <v>461</v>
      </c>
      <c r="N208" s="233">
        <f>AZ119</f>
        <v>73.616894705532417</v>
      </c>
      <c r="O208" s="230">
        <v>0</v>
      </c>
      <c r="P208" s="170">
        <f>L208*N208*O208</f>
        <v>0</v>
      </c>
      <c r="R208" s="261" t="e">
        <f t="shared" si="12"/>
        <v>#DIV/0!</v>
      </c>
      <c r="S208" s="261"/>
      <c r="AX208" s="254">
        <f t="shared" si="14"/>
        <v>3.1399999999999997E-2</v>
      </c>
      <c r="AY208" s="253">
        <f t="shared" si="15"/>
        <v>20</v>
      </c>
      <c r="AZ208" s="253">
        <v>50</v>
      </c>
      <c r="BA208" s="255">
        <f t="shared" si="16"/>
        <v>6.8088732498910537E-2</v>
      </c>
      <c r="BB208" s="255">
        <f t="shared" si="17"/>
        <v>3.9904916468381998E-2</v>
      </c>
      <c r="BC208" s="256">
        <f t="shared" si="18"/>
        <v>14.686717806297843</v>
      </c>
      <c r="BD208" s="258">
        <f t="shared" si="13"/>
        <v>0</v>
      </c>
      <c r="BE208" s="258">
        <f t="shared" si="19"/>
        <v>0</v>
      </c>
      <c r="BF208" s="10">
        <f>($BB$87-$BB$137)*O208</f>
        <v>0</v>
      </c>
      <c r="BG208" s="10">
        <f>$BB$87-$BB$137</f>
        <v>580.07757287328991</v>
      </c>
    </row>
    <row r="209" spans="9:59" x14ac:dyDescent="0.4">
      <c r="J209" s="1">
        <v>4</v>
      </c>
      <c r="K209" s="5" t="s">
        <v>94</v>
      </c>
      <c r="L209" s="233">
        <v>10</v>
      </c>
      <c r="M209" s="5" t="s">
        <v>465</v>
      </c>
      <c r="N209" s="233">
        <f>roofarea</f>
        <v>226.61362284354556</v>
      </c>
      <c r="O209" s="230">
        <v>1</v>
      </c>
      <c r="P209" s="170">
        <f>L209*N209*O209</f>
        <v>2266.1362284354555</v>
      </c>
      <c r="R209" s="261">
        <f t="shared" si="12"/>
        <v>6.5750239459073476E-2</v>
      </c>
      <c r="S209" s="261"/>
      <c r="AX209" s="254">
        <f t="shared" si="14"/>
        <v>3.1399999999999997E-2</v>
      </c>
      <c r="AY209" s="253">
        <f t="shared" si="15"/>
        <v>20</v>
      </c>
      <c r="AZ209" s="253">
        <v>50</v>
      </c>
      <c r="BA209" s="255">
        <f t="shared" si="16"/>
        <v>6.8088732498910537E-2</v>
      </c>
      <c r="BB209" s="255">
        <f t="shared" si="17"/>
        <v>3.9904916468381998E-2</v>
      </c>
      <c r="BC209" s="256">
        <f t="shared" si="18"/>
        <v>14.686717806297843</v>
      </c>
      <c r="BD209" s="258">
        <f t="shared" si="13"/>
        <v>2266.1362284354555</v>
      </c>
      <c r="BE209" s="258">
        <f t="shared" si="19"/>
        <v>938.01667645028647</v>
      </c>
      <c r="BF209" s="10">
        <f>($BB$88-$BB$138)*O209</f>
        <v>1375.3558564296882</v>
      </c>
      <c r="BG209" s="10">
        <f>$BB$88-$BB$138</f>
        <v>1375.3558564296882</v>
      </c>
    </row>
    <row r="210" spans="9:59" x14ac:dyDescent="0.4">
      <c r="J210" s="1">
        <v>5</v>
      </c>
      <c r="K210" s="5" t="s">
        <v>95</v>
      </c>
      <c r="L210" s="233">
        <v>30</v>
      </c>
      <c r="M210" s="5" t="s">
        <v>463</v>
      </c>
      <c r="N210" s="233">
        <f>AZ121</f>
        <v>226.61362284354556</v>
      </c>
      <c r="O210" s="230">
        <v>1</v>
      </c>
      <c r="P210" s="170">
        <f t="shared" si="11"/>
        <v>6798.4086853063664</v>
      </c>
      <c r="R210" s="261">
        <f t="shared" si="12"/>
        <v>7.7306344283487538E-2</v>
      </c>
      <c r="S210" s="261"/>
      <c r="AX210" s="254">
        <f t="shared" si="14"/>
        <v>3.1399999999999997E-2</v>
      </c>
      <c r="AY210" s="253">
        <f t="shared" si="15"/>
        <v>20</v>
      </c>
      <c r="AZ210" s="253">
        <v>50</v>
      </c>
      <c r="BA210" s="255">
        <f t="shared" si="16"/>
        <v>6.8088732498910537E-2</v>
      </c>
      <c r="BB210" s="255">
        <f t="shared" si="17"/>
        <v>3.9904916468381998E-2</v>
      </c>
      <c r="BC210" s="256">
        <f t="shared" si="18"/>
        <v>14.686717806297843</v>
      </c>
      <c r="BD210" s="258">
        <f t="shared" si="13"/>
        <v>6798.4086853063664</v>
      </c>
      <c r="BE210" s="258">
        <f t="shared" si="19"/>
        <v>2814.0500293508594</v>
      </c>
      <c r="BF210" s="10">
        <f>($BB$89-$BB$139)*O210</f>
        <v>3509.2841760856641</v>
      </c>
      <c r="BG210" s="10">
        <f>$BB$89-$BB$139</f>
        <v>3509.2841760856641</v>
      </c>
    </row>
    <row r="211" spans="9:59" x14ac:dyDescent="0.4">
      <c r="J211" s="1">
        <v>6</v>
      </c>
      <c r="K211" s="5" t="s">
        <v>166</v>
      </c>
      <c r="L211" s="234">
        <v>200</v>
      </c>
      <c r="M211" s="5" t="s">
        <v>464</v>
      </c>
      <c r="N211" s="233">
        <f>SUM(AY140:AY141)</f>
        <v>25.4</v>
      </c>
      <c r="O211" s="230">
        <v>1</v>
      </c>
      <c r="P211" s="170">
        <f>L211*N211*O211</f>
        <v>5080</v>
      </c>
      <c r="R211" s="261">
        <f t="shared" si="12"/>
        <v>2.5398906277764768E-2</v>
      </c>
      <c r="S211" s="261"/>
      <c r="AX211" s="254">
        <f t="shared" si="14"/>
        <v>3.1399999999999997E-2</v>
      </c>
      <c r="AY211" s="253">
        <f t="shared" si="15"/>
        <v>20</v>
      </c>
      <c r="AZ211" s="253">
        <v>25</v>
      </c>
      <c r="BA211" s="255">
        <f t="shared" si="16"/>
        <v>6.8088732498910537E-2</v>
      </c>
      <c r="BB211" s="255">
        <f t="shared" si="17"/>
        <v>5.8327402219261283E-2</v>
      </c>
      <c r="BC211" s="256">
        <f t="shared" si="18"/>
        <v>14.686717806297843</v>
      </c>
      <c r="BD211" s="258">
        <f t="shared" si="13"/>
        <v>5080</v>
      </c>
      <c r="BE211" s="258">
        <f t="shared" si="19"/>
        <v>728.2784684148977</v>
      </c>
      <c r="BF211" s="10">
        <f>(($BB$90+$BB$91-$BC$100+$BI$87)-($BB$140+$BB$141-$BC$150))*O211</f>
        <v>11665.982780260232</v>
      </c>
      <c r="BG211" s="10">
        <f>($BB$90+$BB$91-$BC$100+$BI$87)-($BB$140+$BB$141-$BC$150)</f>
        <v>11665.982780260232</v>
      </c>
    </row>
    <row r="212" spans="9:59" x14ac:dyDescent="0.4">
      <c r="J212" s="1">
        <v>7</v>
      </c>
      <c r="K212" s="5" t="s">
        <v>146</v>
      </c>
      <c r="L212" s="234">
        <v>1000</v>
      </c>
      <c r="M212" s="5" t="s">
        <v>312</v>
      </c>
      <c r="N212" s="233">
        <f>units</f>
        <v>1</v>
      </c>
      <c r="O212" s="230">
        <v>1</v>
      </c>
      <c r="P212" s="170">
        <f>L212*N212*O212</f>
        <v>1000</v>
      </c>
      <c r="R212" s="261">
        <f t="shared" si="12"/>
        <v>1.6606336233018975E-2</v>
      </c>
      <c r="S212" s="261"/>
      <c r="AX212" s="254">
        <f t="shared" si="14"/>
        <v>3.1399999999999997E-2</v>
      </c>
      <c r="AY212" s="253">
        <f t="shared" si="15"/>
        <v>20</v>
      </c>
      <c r="AZ212" s="253">
        <v>25</v>
      </c>
      <c r="BA212" s="255">
        <f t="shared" si="16"/>
        <v>6.8088732498910537E-2</v>
      </c>
      <c r="BB212" s="255">
        <f t="shared" si="17"/>
        <v>5.8327402219261283E-2</v>
      </c>
      <c r="BC212" s="256">
        <f t="shared" si="18"/>
        <v>14.686717806297843</v>
      </c>
      <c r="BD212" s="258">
        <f t="shared" si="13"/>
        <v>1000</v>
      </c>
      <c r="BE212" s="258">
        <f t="shared" si="19"/>
        <v>143.36190323127906</v>
      </c>
      <c r="BF212" s="10">
        <f>($BI$86-$BI$136)*O212</f>
        <v>3512.3582589690559</v>
      </c>
      <c r="BG212" s="10">
        <f>$BI$86-$BI$136</f>
        <v>3512.3582589690559</v>
      </c>
    </row>
    <row r="213" spans="9:59" x14ac:dyDescent="0.4">
      <c r="J213" s="1">
        <v>8</v>
      </c>
      <c r="K213" s="5" t="s">
        <v>458</v>
      </c>
      <c r="L213" s="234">
        <v>1000</v>
      </c>
      <c r="M213" s="5" t="s">
        <v>312</v>
      </c>
      <c r="N213" s="233">
        <f>units</f>
        <v>1</v>
      </c>
      <c r="O213" s="230">
        <v>1</v>
      </c>
      <c r="P213" s="170">
        <f t="shared" si="11"/>
        <v>1000</v>
      </c>
      <c r="R213" s="261">
        <f t="shared" si="12"/>
        <v>1.0155389214631732E-2</v>
      </c>
      <c r="S213" s="261"/>
      <c r="AX213" s="254">
        <f t="shared" si="14"/>
        <v>3.1399999999999997E-2</v>
      </c>
      <c r="AY213" s="253">
        <f t="shared" si="15"/>
        <v>20</v>
      </c>
      <c r="AZ213" s="253">
        <v>20</v>
      </c>
      <c r="BA213" s="255">
        <f t="shared" si="16"/>
        <v>6.8088732498910537E-2</v>
      </c>
      <c r="BB213" s="255">
        <f t="shared" si="17"/>
        <v>6.8088732498910537E-2</v>
      </c>
      <c r="BC213" s="256">
        <f t="shared" si="18"/>
        <v>14.686717806297843</v>
      </c>
      <c r="BD213" s="258">
        <f t="shared" si="13"/>
        <v>1000</v>
      </c>
      <c r="BE213" s="258">
        <f t="shared" si="19"/>
        <v>0</v>
      </c>
      <c r="BF213" s="10">
        <f>($L$161*tfa-$L$156)*O213</f>
        <v>6704.6896046888396</v>
      </c>
      <c r="BG213" s="10">
        <f>$L$161*tfa-$L$156</f>
        <v>6704.6896046888396</v>
      </c>
    </row>
    <row r="214" spans="9:59" x14ac:dyDescent="0.4">
      <c r="J214" s="1">
        <v>9</v>
      </c>
      <c r="K214" s="5" t="s">
        <v>459</v>
      </c>
      <c r="L214" s="234">
        <v>1500</v>
      </c>
      <c r="M214" s="5" t="s">
        <v>312</v>
      </c>
      <c r="N214" s="233">
        <f>units</f>
        <v>1</v>
      </c>
      <c r="O214" s="230">
        <v>1</v>
      </c>
      <c r="P214" s="170">
        <f t="shared" si="11"/>
        <v>1500</v>
      </c>
      <c r="R214" s="261">
        <f t="shared" si="12"/>
        <v>2.7237570617460283E-2</v>
      </c>
      <c r="S214" s="261"/>
      <c r="AX214" s="254">
        <f t="shared" si="14"/>
        <v>3.1399999999999997E-2</v>
      </c>
      <c r="AY214" s="253">
        <f t="shared" si="15"/>
        <v>20</v>
      </c>
      <c r="AZ214" s="253">
        <v>20</v>
      </c>
      <c r="BA214" s="255">
        <f t="shared" si="16"/>
        <v>6.8088732498910537E-2</v>
      </c>
      <c r="BB214" s="255">
        <f t="shared" si="17"/>
        <v>6.8088732498910537E-2</v>
      </c>
      <c r="BC214" s="256">
        <f t="shared" si="18"/>
        <v>14.686717806297843</v>
      </c>
      <c r="BD214" s="258">
        <f t="shared" si="13"/>
        <v>1500</v>
      </c>
      <c r="BE214" s="258">
        <f t="shared" si="19"/>
        <v>0</v>
      </c>
      <c r="BF214" s="10">
        <f>($C$157-$L$157)*O214</f>
        <v>3749.713958810069</v>
      </c>
      <c r="BG214" s="10">
        <f>$C$157-$L$157</f>
        <v>3749.713958810069</v>
      </c>
    </row>
    <row r="215" spans="9:59" ht="14.25" thickBot="1" x14ac:dyDescent="0.45">
      <c r="J215" s="1">
        <v>10</v>
      </c>
      <c r="K215" s="5" t="s">
        <v>466</v>
      </c>
      <c r="L215" s="233">
        <v>500</v>
      </c>
      <c r="M215" s="5" t="s">
        <v>312</v>
      </c>
      <c r="N215" s="233">
        <v>1</v>
      </c>
      <c r="O215" s="230">
        <v>0</v>
      </c>
      <c r="P215" s="170">
        <f t="shared" si="11"/>
        <v>0</v>
      </c>
      <c r="Q215" s="260"/>
      <c r="R215" s="261" t="e">
        <f t="shared" si="12"/>
        <v>#DIV/0!</v>
      </c>
      <c r="S215" s="261"/>
      <c r="AX215" s="254">
        <f t="shared" si="14"/>
        <v>3.1399999999999997E-2</v>
      </c>
      <c r="AY215" s="253">
        <f t="shared" si="15"/>
        <v>20</v>
      </c>
      <c r="AZ215" s="253">
        <v>20</v>
      </c>
      <c r="BA215" s="255">
        <f t="shared" si="16"/>
        <v>6.8088732498910537E-2</v>
      </c>
      <c r="BB215" s="255">
        <f t="shared" si="17"/>
        <v>6.8088732498910537E-2</v>
      </c>
      <c r="BC215" s="256">
        <f t="shared" si="18"/>
        <v>14.686717806297843</v>
      </c>
      <c r="BD215" s="258">
        <f t="shared" si="13"/>
        <v>0</v>
      </c>
      <c r="BE215" s="258">
        <f t="shared" si="19"/>
        <v>0</v>
      </c>
      <c r="BF215" s="10">
        <v>0</v>
      </c>
      <c r="BG215" s="10">
        <v>0</v>
      </c>
    </row>
    <row r="216" spans="9:59" ht="14.25" thickBot="1" x14ac:dyDescent="0.45">
      <c r="I216" s="19" t="str">
        <f>IF(M185/1032&gt;L219, "Insufficient Roof Area", "Roof Area Sufficient")</f>
        <v>Roof Area Sufficient</v>
      </c>
      <c r="J216" s="1">
        <v>11</v>
      </c>
      <c r="K216" s="252" t="str">
        <f>_xlfn.CONCAT("Solar ",ROUND(N216/1.7*0.185,1)," kW")</f>
        <v>Solar 12.5 kW</v>
      </c>
      <c r="L216" s="233">
        <f>1.5*185/1.7</f>
        <v>163.23529411764707</v>
      </c>
      <c r="M216" s="5" t="s">
        <v>465</v>
      </c>
      <c r="N216" s="233">
        <f>Q216*L159/1.032/185*1.7</f>
        <v>114.46489391034115</v>
      </c>
      <c r="O216" s="230">
        <v>1</v>
      </c>
      <c r="P216" s="170">
        <f t="shared" si="11"/>
        <v>18684.710623599807</v>
      </c>
      <c r="Q216" s="259">
        <v>1</v>
      </c>
      <c r="R216" s="261">
        <f t="shared" si="12"/>
        <v>8.4778200900089085E-2</v>
      </c>
      <c r="S216" s="19" t="str">
        <f>IF(Q216=100%,"Net-zero","")</f>
        <v>Net-zero</v>
      </c>
      <c r="AX216" s="254">
        <f t="shared" si="14"/>
        <v>3.1399999999999997E-2</v>
      </c>
      <c r="AY216" s="253">
        <f t="shared" si="15"/>
        <v>20</v>
      </c>
      <c r="AZ216" s="253">
        <v>25</v>
      </c>
      <c r="BA216" s="255">
        <f t="shared" si="16"/>
        <v>6.8088732498910537E-2</v>
      </c>
      <c r="BB216" s="255">
        <f t="shared" si="17"/>
        <v>5.8327402219261283E-2</v>
      </c>
      <c r="BC216" s="256">
        <f t="shared" si="18"/>
        <v>14.686717806297843</v>
      </c>
      <c r="BD216" s="258">
        <f t="shared" si="13"/>
        <v>18684.710623599807</v>
      </c>
      <c r="BE216" s="258">
        <f t="shared" si="19"/>
        <v>2678.6756763249673</v>
      </c>
      <c r="BF216" s="10">
        <f>($Q$216*$L$159)*O216</f>
        <v>12855.080909036666</v>
      </c>
      <c r="BG216" s="10">
        <f>$Q$216*$L$159</f>
        <v>12855.080909036666</v>
      </c>
    </row>
    <row r="217" spans="9:59" ht="14.25" thickBot="1" x14ac:dyDescent="0.45">
      <c r="J217" s="1">
        <v>12</v>
      </c>
      <c r="K217" s="5" t="s">
        <v>314</v>
      </c>
      <c r="L217" s="212">
        <v>1000</v>
      </c>
      <c r="M217" s="5" t="s">
        <v>312</v>
      </c>
      <c r="N217" s="250">
        <v>0</v>
      </c>
      <c r="O217" s="231">
        <v>0</v>
      </c>
      <c r="P217" s="170">
        <f t="shared" si="11"/>
        <v>0</v>
      </c>
      <c r="R217" s="261" t="e">
        <f t="shared" si="12"/>
        <v>#DIV/0!</v>
      </c>
      <c r="S217" s="261"/>
      <c r="AX217" s="254">
        <f t="shared" si="14"/>
        <v>3.1399999999999997E-2</v>
      </c>
      <c r="AY217" s="253">
        <f t="shared" si="15"/>
        <v>20</v>
      </c>
      <c r="AZ217" s="253">
        <v>25</v>
      </c>
      <c r="BA217" s="255">
        <f t="shared" si="16"/>
        <v>6.8088732498910537E-2</v>
      </c>
      <c r="BB217" s="255">
        <f t="shared" si="17"/>
        <v>5.8327402219261283E-2</v>
      </c>
      <c r="BC217" s="256">
        <f t="shared" si="18"/>
        <v>14.686717806297843</v>
      </c>
      <c r="BD217" s="258">
        <f t="shared" si="13"/>
        <v>0</v>
      </c>
      <c r="BE217" s="258">
        <f t="shared" si="19"/>
        <v>0</v>
      </c>
      <c r="BF217" s="10">
        <v>0</v>
      </c>
      <c r="BG217" s="10">
        <v>0</v>
      </c>
    </row>
    <row r="218" spans="9:59" x14ac:dyDescent="0.4">
      <c r="AY218" s="7"/>
      <c r="AZ218" s="7"/>
      <c r="BA218" s="7"/>
      <c r="BB218" s="7"/>
      <c r="BC218" s="7"/>
      <c r="BD218" s="7"/>
      <c r="BE218" s="7"/>
      <c r="BF218" s="265"/>
      <c r="BG218" s="7"/>
    </row>
    <row r="219" spans="9:59" x14ac:dyDescent="0.4">
      <c r="K219" s="185" t="s">
        <v>315</v>
      </c>
      <c r="L219" s="171">
        <f>315/(1.7*1)*solararea/1000</f>
        <v>20.995085645799072</v>
      </c>
      <c r="M219" s="5" t="s">
        <v>277</v>
      </c>
      <c r="O219" s="172" t="s">
        <v>316</v>
      </c>
      <c r="P219" s="173">
        <f>SUM(P206:P217)</f>
        <v>49782.634478448119</v>
      </c>
      <c r="AX219" s="1" t="s">
        <v>478</v>
      </c>
      <c r="AY219" s="7"/>
      <c r="AZ219" s="7"/>
      <c r="BA219" s="7"/>
      <c r="BB219" s="7"/>
      <c r="BC219" s="7"/>
      <c r="BD219" s="7"/>
      <c r="BE219" s="7"/>
      <c r="BF219" s="7"/>
      <c r="BG219" s="7"/>
    </row>
    <row r="220" spans="9:59" x14ac:dyDescent="0.4">
      <c r="W220" s="1"/>
      <c r="AY220" s="7"/>
      <c r="AZ220" s="7"/>
      <c r="BA220" s="7"/>
      <c r="BB220" s="7"/>
      <c r="BC220" s="7"/>
      <c r="BD220" s="7"/>
    </row>
    <row r="221" spans="9:59" x14ac:dyDescent="0.4">
      <c r="K221" s="7"/>
      <c r="L221" s="7"/>
      <c r="M221" s="7"/>
      <c r="N221" s="7"/>
      <c r="O221" s="7"/>
      <c r="AY221" s="7"/>
      <c r="AZ221" s="7"/>
      <c r="BA221" s="7"/>
      <c r="BB221" s="7"/>
      <c r="BC221" s="7"/>
      <c r="BD221" s="7"/>
    </row>
    <row r="222" spans="9:59" ht="17.649999999999999" x14ac:dyDescent="0.5">
      <c r="J222" s="7"/>
      <c r="K222" s="164" t="s">
        <v>401</v>
      </c>
      <c r="L222" s="9"/>
      <c r="M222" s="169"/>
      <c r="N222" s="9"/>
      <c r="O222" s="9"/>
      <c r="P222" s="9"/>
      <c r="AY222" s="7"/>
      <c r="AZ222" s="7"/>
      <c r="BA222" s="7"/>
      <c r="BB222" s="7"/>
      <c r="BC222" s="7"/>
      <c r="BD222" s="7"/>
    </row>
    <row r="223" spans="9:59" ht="30" x14ac:dyDescent="0.4">
      <c r="J223" s="7"/>
      <c r="K223" s="174" t="s">
        <v>317</v>
      </c>
      <c r="L223" s="249" t="s">
        <v>318</v>
      </c>
      <c r="M223" s="175" t="s">
        <v>319</v>
      </c>
      <c r="N223" s="174" t="s">
        <v>320</v>
      </c>
      <c r="O223" s="202" t="s">
        <v>321</v>
      </c>
      <c r="P223" s="9"/>
      <c r="S223" s="1" t="s">
        <v>322</v>
      </c>
      <c r="AY223" s="7"/>
      <c r="AZ223" s="7"/>
      <c r="BA223" s="7"/>
      <c r="BB223" s="7"/>
      <c r="BC223" s="7"/>
      <c r="BD223" s="7"/>
    </row>
    <row r="224" spans="9:59" ht="15" x14ac:dyDescent="0.4">
      <c r="J224" s="7"/>
      <c r="K224" s="71">
        <f>P219</f>
        <v>49782.634478448119</v>
      </c>
      <c r="L224" s="71">
        <f>IF(O216=0,S167,S167+L167*Q216)*SUM($BF$207:$BF$217)/SUM($BG$207:$BG$217)</f>
        <v>3325.2353838631293</v>
      </c>
      <c r="M224" s="168">
        <f>K224/L224</f>
        <v>14.971161055255159</v>
      </c>
      <c r="N224" s="72">
        <f>IRR(BA182:BA202,6%)</f>
        <v>2.932201691925429E-2</v>
      </c>
      <c r="O224" s="71">
        <f>SUM(AY183:AY202)+AY182</f>
        <v>16722.073198814483</v>
      </c>
      <c r="P224" s="65"/>
      <c r="R224" s="253"/>
      <c r="S224" s="253"/>
      <c r="T224" s="253"/>
      <c r="U224" s="253"/>
      <c r="V224" s="253"/>
      <c r="W224" s="253"/>
      <c r="X224" s="253"/>
      <c r="Y224" s="253"/>
      <c r="Z224" s="253"/>
      <c r="AA224" s="253"/>
      <c r="AB224" s="253"/>
      <c r="AC224" s="253"/>
      <c r="AD224" s="253"/>
      <c r="AE224" s="253"/>
      <c r="AF224" s="1"/>
      <c r="AG224" s="1"/>
      <c r="AH224" s="253"/>
      <c r="AI224" s="253"/>
      <c r="AY224" s="7"/>
      <c r="AZ224" s="7"/>
      <c r="BA224" s="7"/>
      <c r="BB224" s="7"/>
      <c r="BC224" s="7"/>
      <c r="BD224" s="7"/>
    </row>
    <row r="225" spans="1:56" x14ac:dyDescent="0.4">
      <c r="J225" s="7"/>
      <c r="K225" s="176"/>
      <c r="L225" s="176"/>
      <c r="M225" s="176"/>
      <c r="N225" s="176"/>
      <c r="O225" s="176"/>
      <c r="P225" s="7"/>
      <c r="R225" s="253"/>
      <c r="S225" s="253"/>
      <c r="T225" s="253"/>
      <c r="U225" s="253"/>
      <c r="V225" s="253"/>
      <c r="W225" s="253"/>
      <c r="X225" s="253"/>
      <c r="Y225" s="253"/>
      <c r="Z225" s="253"/>
      <c r="AA225" s="253"/>
      <c r="AB225" s="253"/>
      <c r="AC225" s="253"/>
      <c r="AD225" s="253"/>
      <c r="AE225" s="253"/>
      <c r="AF225" s="1"/>
      <c r="AG225" s="1"/>
      <c r="AH225" s="253"/>
      <c r="AI225" s="253"/>
      <c r="AY225" s="7"/>
      <c r="AZ225" s="7"/>
      <c r="BA225" s="7"/>
      <c r="BB225" s="7"/>
      <c r="BC225" s="7"/>
      <c r="BD225" s="7"/>
    </row>
    <row r="226" spans="1:56" x14ac:dyDescent="0.4">
      <c r="J226" s="7"/>
      <c r="K226" s="177"/>
      <c r="L226" s="177"/>
      <c r="M226" s="287" t="s">
        <v>323</v>
      </c>
      <c r="N226" s="287" t="s">
        <v>324</v>
      </c>
      <c r="O226" s="286" t="s">
        <v>325</v>
      </c>
      <c r="P226" s="7"/>
      <c r="R226" s="253"/>
      <c r="S226" s="253"/>
      <c r="T226" s="253"/>
      <c r="U226" s="253"/>
      <c r="V226" s="253"/>
      <c r="W226" s="253"/>
      <c r="X226" s="253"/>
      <c r="Y226" s="253"/>
      <c r="Z226" s="253"/>
      <c r="AA226" s="253"/>
      <c r="AB226" s="253"/>
      <c r="AC226" s="253"/>
      <c r="AD226" s="253"/>
      <c r="AE226" s="253"/>
      <c r="AF226" s="1"/>
      <c r="AG226" s="1"/>
      <c r="AH226" s="253"/>
      <c r="AI226" s="253"/>
      <c r="AY226" s="7"/>
      <c r="AZ226" s="7"/>
      <c r="BA226" s="7"/>
      <c r="BB226" s="7"/>
      <c r="BC226" s="7"/>
      <c r="BD226" s="7"/>
    </row>
    <row r="227" spans="1:56" ht="14.25" thickBot="1" x14ac:dyDescent="0.45">
      <c r="J227" s="7"/>
      <c r="K227" s="177" t="s">
        <v>326</v>
      </c>
      <c r="L227" s="177" t="s">
        <v>327</v>
      </c>
      <c r="M227" s="287"/>
      <c r="N227" s="287"/>
      <c r="O227" s="286"/>
      <c r="P227" s="7"/>
      <c r="R227" s="253"/>
      <c r="S227" s="253"/>
      <c r="T227" s="253"/>
      <c r="U227" s="253"/>
      <c r="V227" s="253"/>
      <c r="W227" s="253"/>
      <c r="X227" s="253"/>
      <c r="Y227" s="253"/>
      <c r="Z227" s="253"/>
      <c r="AA227" s="253"/>
      <c r="AB227" s="253"/>
      <c r="AC227" s="253"/>
      <c r="AD227" s="253"/>
      <c r="AE227" s="253"/>
      <c r="AF227" s="1"/>
      <c r="AG227" s="1"/>
      <c r="AH227" s="253"/>
      <c r="AI227" s="253"/>
      <c r="AY227" s="7"/>
      <c r="AZ227" s="7"/>
      <c r="BA227" s="7"/>
      <c r="BB227" s="7"/>
      <c r="BC227" s="7"/>
      <c r="BD227" s="7"/>
    </row>
    <row r="228" spans="1:56" ht="15.4" thickBot="1" x14ac:dyDescent="0.5">
      <c r="A228" s="98" t="s">
        <v>154</v>
      </c>
      <c r="K228" s="278">
        <v>20</v>
      </c>
      <c r="L228" s="279">
        <v>3.1399999999999997E-2</v>
      </c>
      <c r="M228" s="165">
        <f>-PMT(L228/12,K228*12,K224)</f>
        <v>279.59524463882553</v>
      </c>
      <c r="N228" s="166">
        <f>L224/12</f>
        <v>277.10294865526078</v>
      </c>
      <c r="O228" s="167">
        <f>N228-M228</f>
        <v>-2.4922959835647589</v>
      </c>
      <c r="P228" s="7"/>
      <c r="R228" s="253"/>
      <c r="S228" s="253"/>
      <c r="T228" s="253"/>
      <c r="U228" s="253"/>
      <c r="V228" s="253"/>
      <c r="W228" s="253"/>
      <c r="X228" s="253"/>
      <c r="Y228" s="253"/>
      <c r="Z228" s="253"/>
      <c r="AA228" s="253"/>
      <c r="AB228" s="253"/>
      <c r="AC228" s="253"/>
      <c r="AD228" s="253"/>
      <c r="AE228" s="253"/>
      <c r="AF228" s="253"/>
      <c r="AG228" s="253"/>
      <c r="AH228" s="253"/>
      <c r="AI228" s="253"/>
      <c r="AY228" s="7"/>
      <c r="AZ228" s="7"/>
      <c r="BA228" s="7"/>
      <c r="BB228" s="7"/>
      <c r="BC228" s="7"/>
      <c r="BD228" s="7"/>
    </row>
    <row r="229" spans="1:56" ht="14.25" x14ac:dyDescent="0.45">
      <c r="J229" s="98" t="s">
        <v>154</v>
      </c>
      <c r="R229" s="253"/>
      <c r="S229" s="253"/>
      <c r="V229" s="1"/>
      <c r="W229" s="1"/>
      <c r="X229" s="1"/>
      <c r="Y229" s="253"/>
      <c r="Z229" s="253"/>
      <c r="AA229" s="253"/>
      <c r="AB229" s="253"/>
      <c r="AC229" s="253"/>
      <c r="AD229" s="253"/>
      <c r="AE229" s="253"/>
      <c r="AF229" s="253"/>
      <c r="AG229" s="253"/>
      <c r="AH229" s="253"/>
      <c r="AI229" s="253"/>
      <c r="AY229" s="7"/>
      <c r="AZ229" s="7"/>
      <c r="BA229" s="7"/>
      <c r="BB229" s="7"/>
      <c r="BC229" s="7"/>
      <c r="BD229" s="7"/>
    </row>
    <row r="230" spans="1:56" x14ac:dyDescent="0.4">
      <c r="R230" s="253"/>
      <c r="S230" s="253"/>
      <c r="V230" s="1"/>
      <c r="W230" s="1"/>
      <c r="X230" s="1"/>
      <c r="Y230" s="253"/>
      <c r="Z230" s="253"/>
      <c r="AA230" s="253"/>
      <c r="AB230" s="253"/>
      <c r="AC230" s="253"/>
      <c r="AD230" s="253"/>
      <c r="AE230" s="253"/>
      <c r="AF230" s="1"/>
      <c r="AG230" s="1"/>
      <c r="AH230" s="1"/>
      <c r="AI230" s="1"/>
      <c r="AY230" s="7"/>
      <c r="AZ230" s="7"/>
      <c r="BA230" s="7"/>
      <c r="BB230" s="7"/>
      <c r="BC230" s="7"/>
      <c r="BD230" s="7"/>
    </row>
    <row r="231" spans="1:56" x14ac:dyDescent="0.4">
      <c r="R231" s="253"/>
      <c r="S231" s="253"/>
      <c r="V231" s="1"/>
      <c r="W231" s="1"/>
      <c r="X231" s="1"/>
      <c r="Y231" s="256"/>
      <c r="Z231" s="256"/>
      <c r="AA231" s="256"/>
      <c r="AB231" s="256"/>
      <c r="AC231" s="256"/>
      <c r="AD231" s="256"/>
      <c r="AE231" s="253"/>
      <c r="AF231" s="1"/>
      <c r="AG231" s="1"/>
      <c r="AH231" s="1"/>
      <c r="AI231" s="1"/>
      <c r="AY231" s="7"/>
      <c r="AZ231" s="7"/>
      <c r="BA231" s="7"/>
      <c r="BB231" s="7"/>
      <c r="BC231" s="7"/>
      <c r="BD231" s="7"/>
    </row>
    <row r="232" spans="1:56" ht="20.25" x14ac:dyDescent="0.55000000000000004">
      <c r="B232" s="20" t="s">
        <v>10</v>
      </c>
      <c r="AY232" s="7"/>
      <c r="AZ232" s="7"/>
      <c r="BA232" s="7"/>
      <c r="BB232" s="7"/>
      <c r="BC232" s="7"/>
      <c r="BD232" s="7"/>
    </row>
    <row r="233" spans="1:56" x14ac:dyDescent="0.4">
      <c r="B233" s="1" t="s">
        <v>37</v>
      </c>
      <c r="C233" s="86" t="s">
        <v>328</v>
      </c>
      <c r="AY233" s="7"/>
      <c r="AZ233" s="7"/>
      <c r="BA233" s="7"/>
      <c r="BB233" s="7"/>
      <c r="BC233" s="7"/>
      <c r="BD233" s="7"/>
    </row>
    <row r="234" spans="1:56" x14ac:dyDescent="0.4">
      <c r="B234" s="1" t="s">
        <v>329</v>
      </c>
      <c r="C234" s="86" t="s">
        <v>330</v>
      </c>
      <c r="AY234" s="7"/>
      <c r="AZ234" s="7"/>
      <c r="BA234" s="7"/>
      <c r="BB234" s="7"/>
      <c r="BC234" s="7"/>
      <c r="BD234" s="7"/>
    </row>
    <row r="235" spans="1:56" x14ac:dyDescent="0.4">
      <c r="B235" s="1" t="s">
        <v>331</v>
      </c>
      <c r="C235" s="86" t="s">
        <v>332</v>
      </c>
    </row>
    <row r="236" spans="1:56" x14ac:dyDescent="0.4">
      <c r="B236" s="1" t="s">
        <v>333</v>
      </c>
      <c r="C236" s="86" t="s">
        <v>334</v>
      </c>
    </row>
    <row r="237" spans="1:56" x14ac:dyDescent="0.4">
      <c r="B237" s="1" t="s">
        <v>335</v>
      </c>
      <c r="C237" s="86" t="s">
        <v>336</v>
      </c>
    </row>
    <row r="238" spans="1:56" x14ac:dyDescent="0.4">
      <c r="B238" s="1" t="s">
        <v>337</v>
      </c>
      <c r="C238" s="86" t="s">
        <v>338</v>
      </c>
    </row>
    <row r="239" spans="1:56" x14ac:dyDescent="0.4">
      <c r="B239" s="1" t="s">
        <v>339</v>
      </c>
      <c r="C239" s="86" t="s">
        <v>340</v>
      </c>
    </row>
    <row r="240" spans="1:56" x14ac:dyDescent="0.4">
      <c r="B240" s="7" t="s">
        <v>341</v>
      </c>
      <c r="C240" s="86" t="s">
        <v>342</v>
      </c>
    </row>
    <row r="241" spans="2:19" x14ac:dyDescent="0.4">
      <c r="B241" s="1" t="s">
        <v>343</v>
      </c>
      <c r="C241" s="86" t="s">
        <v>344</v>
      </c>
    </row>
    <row r="242" spans="2:19" x14ac:dyDescent="0.4">
      <c r="B242" s="1" t="s">
        <v>345</v>
      </c>
      <c r="C242" s="86" t="s">
        <v>346</v>
      </c>
    </row>
    <row r="243" spans="2:19" x14ac:dyDescent="0.4">
      <c r="B243" s="1" t="s">
        <v>347</v>
      </c>
      <c r="C243" s="86" t="s">
        <v>348</v>
      </c>
    </row>
    <row r="244" spans="2:19" x14ac:dyDescent="0.4">
      <c r="B244" s="7" t="s">
        <v>349</v>
      </c>
      <c r="C244" s="86" t="s">
        <v>350</v>
      </c>
      <c r="L244" s="7"/>
    </row>
    <row r="245" spans="2:19" x14ac:dyDescent="0.4">
      <c r="B245" s="7" t="s">
        <v>351</v>
      </c>
      <c r="C245" s="86" t="s">
        <v>352</v>
      </c>
    </row>
    <row r="246" spans="2:19" x14ac:dyDescent="0.4">
      <c r="B246" s="1" t="s">
        <v>353</v>
      </c>
      <c r="C246" s="86" t="s">
        <v>354</v>
      </c>
      <c r="K246" s="7"/>
    </row>
    <row r="247" spans="2:19" ht="14.25" x14ac:dyDescent="0.45">
      <c r="B247" s="1" t="s">
        <v>435</v>
      </c>
      <c r="C247" s="183" t="s">
        <v>436</v>
      </c>
      <c r="K247" s="7"/>
    </row>
    <row r="248" spans="2:19" x14ac:dyDescent="0.4">
      <c r="B248" s="1" t="s">
        <v>355</v>
      </c>
      <c r="C248" s="86" t="s">
        <v>356</v>
      </c>
      <c r="K248" s="7"/>
    </row>
    <row r="249" spans="2:19" x14ac:dyDescent="0.4">
      <c r="B249" s="1" t="s">
        <v>357</v>
      </c>
      <c r="C249" s="86" t="s">
        <v>358</v>
      </c>
      <c r="K249" s="7"/>
      <c r="M249" s="7"/>
      <c r="N249" s="7"/>
      <c r="O249" s="7"/>
      <c r="P249" s="7"/>
      <c r="Q249" s="7"/>
      <c r="R249" s="7"/>
      <c r="S249" s="7"/>
    </row>
    <row r="250" spans="2:19" x14ac:dyDescent="0.4">
      <c r="B250" s="1" t="s">
        <v>359</v>
      </c>
      <c r="C250" s="86" t="s">
        <v>360</v>
      </c>
      <c r="K250" s="7"/>
      <c r="M250" s="7"/>
      <c r="N250" s="7"/>
      <c r="O250" s="7"/>
      <c r="P250" s="7"/>
      <c r="Q250" s="7"/>
      <c r="R250" s="7"/>
      <c r="S250" s="7"/>
    </row>
    <row r="251" spans="2:19" x14ac:dyDescent="0.4">
      <c r="B251" s="1" t="s">
        <v>277</v>
      </c>
      <c r="C251" s="86" t="s">
        <v>361</v>
      </c>
      <c r="K251" s="7"/>
      <c r="M251" s="7"/>
      <c r="N251" s="7"/>
      <c r="O251" s="7"/>
      <c r="P251" s="7"/>
      <c r="Q251" s="7"/>
      <c r="R251" s="7"/>
      <c r="S251" s="7"/>
    </row>
    <row r="252" spans="2:19" x14ac:dyDescent="0.4">
      <c r="B252" s="1" t="s">
        <v>214</v>
      </c>
      <c r="C252" s="86" t="s">
        <v>362</v>
      </c>
    </row>
    <row r="253" spans="2:19" x14ac:dyDescent="0.4">
      <c r="B253" s="1" t="s">
        <v>285</v>
      </c>
      <c r="C253" s="86" t="s">
        <v>363</v>
      </c>
      <c r="Q253" s="6"/>
      <c r="R253" s="6"/>
      <c r="S253" s="6"/>
    </row>
    <row r="254" spans="2:19" x14ac:dyDescent="0.4">
      <c r="B254" s="1" t="s">
        <v>364</v>
      </c>
      <c r="C254" s="86" t="s">
        <v>365</v>
      </c>
    </row>
    <row r="255" spans="2:19" x14ac:dyDescent="0.4">
      <c r="B255" s="1" t="s">
        <v>366</v>
      </c>
      <c r="C255" s="86" t="s">
        <v>367</v>
      </c>
    </row>
    <row r="256" spans="2:19" x14ac:dyDescent="0.4">
      <c r="B256" s="7" t="s">
        <v>368</v>
      </c>
      <c r="C256" s="86" t="s">
        <v>369</v>
      </c>
    </row>
    <row r="257" spans="2:3" x14ac:dyDescent="0.4">
      <c r="B257" s="1" t="s">
        <v>370</v>
      </c>
      <c r="C257" s="86" t="s">
        <v>371</v>
      </c>
    </row>
    <row r="258" spans="2:3" x14ac:dyDescent="0.4">
      <c r="B258" s="1" t="s">
        <v>372</v>
      </c>
      <c r="C258" s="86" t="s">
        <v>373</v>
      </c>
    </row>
    <row r="259" spans="2:3" x14ac:dyDescent="0.4">
      <c r="B259" s="7" t="s">
        <v>374</v>
      </c>
      <c r="C259" s="86" t="s">
        <v>375</v>
      </c>
    </row>
    <row r="260" spans="2:3" x14ac:dyDescent="0.4">
      <c r="B260" s="1" t="s">
        <v>119</v>
      </c>
      <c r="C260" s="86" t="s">
        <v>376</v>
      </c>
    </row>
    <row r="261" spans="2:3" x14ac:dyDescent="0.4">
      <c r="B261" s="7" t="s">
        <v>377</v>
      </c>
      <c r="C261" s="86" t="s">
        <v>378</v>
      </c>
    </row>
    <row r="262" spans="2:3" x14ac:dyDescent="0.4">
      <c r="B262" s="7"/>
    </row>
    <row r="263" spans="2:3" x14ac:dyDescent="0.4">
      <c r="B263" s="9" t="s">
        <v>379</v>
      </c>
    </row>
    <row r="264" spans="2:3" x14ac:dyDescent="0.4">
      <c r="B264" s="7" t="s">
        <v>380</v>
      </c>
    </row>
    <row r="265" spans="2:3" x14ac:dyDescent="0.4">
      <c r="B265" s="7" t="s">
        <v>381</v>
      </c>
    </row>
    <row r="266" spans="2:3" x14ac:dyDescent="0.4">
      <c r="B266" s="1" t="s">
        <v>382</v>
      </c>
    </row>
    <row r="267" spans="2:3" x14ac:dyDescent="0.4">
      <c r="B267" s="1" t="s">
        <v>383</v>
      </c>
    </row>
    <row r="288" spans="1:1" ht="14.25" x14ac:dyDescent="0.45">
      <c r="A288" s="98" t="s">
        <v>154</v>
      </c>
    </row>
    <row r="291" spans="1:23" ht="20.25" x14ac:dyDescent="0.55000000000000004">
      <c r="B291" s="20" t="s">
        <v>11</v>
      </c>
    </row>
    <row r="292" spans="1:23" x14ac:dyDescent="0.4">
      <c r="A292" s="1">
        <v>1</v>
      </c>
      <c r="B292" s="1" t="s">
        <v>384</v>
      </c>
    </row>
    <row r="293" spans="1:23" x14ac:dyDescent="0.4">
      <c r="A293" s="1">
        <v>2</v>
      </c>
      <c r="B293" s="1" t="s">
        <v>385</v>
      </c>
    </row>
    <row r="294" spans="1:23" x14ac:dyDescent="0.4">
      <c r="A294" s="1">
        <v>3</v>
      </c>
      <c r="B294" s="1" t="s">
        <v>419</v>
      </c>
    </row>
    <row r="295" spans="1:23" x14ac:dyDescent="0.4">
      <c r="A295" s="1">
        <v>4</v>
      </c>
      <c r="B295" s="1" t="s">
        <v>424</v>
      </c>
    </row>
    <row r="296" spans="1:23" x14ac:dyDescent="0.4">
      <c r="A296" s="1">
        <v>5</v>
      </c>
      <c r="B296" s="7" t="s">
        <v>450</v>
      </c>
    </row>
    <row r="297" spans="1:23" x14ac:dyDescent="0.4">
      <c r="A297" s="1">
        <v>6</v>
      </c>
      <c r="B297" s="7" t="s">
        <v>30</v>
      </c>
    </row>
    <row r="304" spans="1:23" x14ac:dyDescent="0.4">
      <c r="V304" s="1"/>
      <c r="W304" s="1"/>
    </row>
    <row r="305" spans="1:23" x14ac:dyDescent="0.4">
      <c r="V305" s="1"/>
      <c r="W305" s="1"/>
    </row>
    <row r="306" spans="1:23" x14ac:dyDescent="0.4">
      <c r="V306" s="1"/>
      <c r="W306" s="1"/>
    </row>
    <row r="307" spans="1:23" x14ac:dyDescent="0.4">
      <c r="V307" s="1"/>
      <c r="W307" s="1"/>
    </row>
    <row r="308" spans="1:23" x14ac:dyDescent="0.4">
      <c r="V308" s="1"/>
      <c r="W308" s="1"/>
    </row>
    <row r="309" spans="1:23" x14ac:dyDescent="0.4">
      <c r="V309" s="1"/>
      <c r="W309" s="1"/>
    </row>
    <row r="310" spans="1:23" x14ac:dyDescent="0.4">
      <c r="V310" s="1"/>
      <c r="W310" s="1"/>
    </row>
    <row r="311" spans="1:23" x14ac:dyDescent="0.4">
      <c r="V311" s="1"/>
      <c r="W311" s="1"/>
    </row>
    <row r="312" spans="1:23" x14ac:dyDescent="0.4">
      <c r="V312" s="1"/>
      <c r="W312" s="1"/>
    </row>
    <row r="313" spans="1:23" x14ac:dyDescent="0.4">
      <c r="V313" s="1"/>
      <c r="W313" s="1"/>
    </row>
    <row r="314" spans="1:23" x14ac:dyDescent="0.4">
      <c r="V314" s="1"/>
      <c r="W314" s="1"/>
    </row>
    <row r="319" spans="1:23" x14ac:dyDescent="0.4">
      <c r="T319" s="7"/>
    </row>
    <row r="320" spans="1:23" ht="14.25" x14ac:dyDescent="0.45">
      <c r="A320" s="98" t="s">
        <v>154</v>
      </c>
      <c r="T320" s="7"/>
    </row>
    <row r="321" spans="2:20" x14ac:dyDescent="0.4">
      <c r="T321" s="7"/>
    </row>
    <row r="322" spans="2:20" x14ac:dyDescent="0.4">
      <c r="T322" s="7"/>
    </row>
    <row r="323" spans="2:20" x14ac:dyDescent="0.4">
      <c r="B323" s="189"/>
      <c r="T323" s="187">
        <f>ROUNDUP(G309,-4)</f>
        <v>0</v>
      </c>
    </row>
    <row r="324" spans="2:20" x14ac:dyDescent="0.4">
      <c r="B324" s="189"/>
    </row>
    <row r="325" spans="2:20" x14ac:dyDescent="0.4">
      <c r="B325" s="189"/>
    </row>
    <row r="326" spans="2:20" x14ac:dyDescent="0.4">
      <c r="B326" s="189"/>
    </row>
    <row r="327" spans="2:20" x14ac:dyDescent="0.4">
      <c r="B327" s="189"/>
    </row>
    <row r="329" spans="2:20" x14ac:dyDescent="0.4">
      <c r="B329" s="197"/>
    </row>
    <row r="330" spans="2:20" x14ac:dyDescent="0.4">
      <c r="B330" s="197"/>
    </row>
    <row r="336" spans="2:20" x14ac:dyDescent="0.4">
      <c r="M336" s="200"/>
    </row>
    <row r="337" spans="1:185" x14ac:dyDescent="0.4">
      <c r="M337" s="200"/>
    </row>
    <row r="338" spans="1:185" x14ac:dyDescent="0.4">
      <c r="M338" s="7"/>
    </row>
    <row r="339" spans="1:185" x14ac:dyDescent="0.4">
      <c r="M339" s="7"/>
    </row>
    <row r="340" spans="1:185" x14ac:dyDescent="0.4">
      <c r="M340" s="7"/>
      <c r="N340" s="3"/>
    </row>
    <row r="345" spans="1:185" ht="14.65" thickBot="1" x14ac:dyDescent="0.5">
      <c r="A345" s="179" t="s">
        <v>154</v>
      </c>
    </row>
    <row r="346" spans="1:185" ht="14.25" thickBot="1" x14ac:dyDescent="0.45">
      <c r="A346" s="1" t="s">
        <v>494</v>
      </c>
    </row>
    <row r="347" spans="1:185" s="12" customFormat="1" ht="14.25" thickBot="1" x14ac:dyDescent="0.45">
      <c r="A347" s="280" t="s">
        <v>483</v>
      </c>
      <c r="B347" s="280" t="s">
        <v>484</v>
      </c>
      <c r="C347" s="280" t="s">
        <v>485</v>
      </c>
      <c r="D347" s="280" t="s">
        <v>486</v>
      </c>
      <c r="E347" s="280" t="s">
        <v>487</v>
      </c>
      <c r="F347" s="280" t="s">
        <v>35</v>
      </c>
      <c r="G347" s="280" t="s">
        <v>488</v>
      </c>
      <c r="H347" s="280" t="s">
        <v>489</v>
      </c>
      <c r="I347" s="280" t="s">
        <v>490</v>
      </c>
      <c r="J347" s="280" t="s">
        <v>491</v>
      </c>
      <c r="K347" s="280" t="s">
        <v>492</v>
      </c>
      <c r="V347" s="49"/>
      <c r="W347" s="49"/>
      <c r="X347" s="49"/>
      <c r="Y347" s="49"/>
      <c r="Z347" s="49"/>
      <c r="AA347" s="49"/>
      <c r="AB347" s="49"/>
      <c r="AC347" s="49"/>
      <c r="AD347" s="49"/>
      <c r="AE347" s="49"/>
      <c r="AF347" s="49"/>
      <c r="AG347" s="49"/>
      <c r="AH347" s="49"/>
      <c r="AI347" s="49"/>
      <c r="AJ347" s="49"/>
      <c r="AK347" s="49"/>
      <c r="AL347" s="49"/>
      <c r="AM347" s="49"/>
      <c r="AN347" s="49"/>
      <c r="AO347" s="49"/>
      <c r="AP347" s="49"/>
      <c r="AQ347" s="49"/>
      <c r="AR347" s="49"/>
      <c r="AS347" s="49"/>
      <c r="AT347" s="49"/>
      <c r="AU347" s="49"/>
      <c r="AV347" s="49"/>
      <c r="AW347" s="49"/>
      <c r="AX347" s="49"/>
      <c r="AY347" s="67"/>
      <c r="AZ347" s="67"/>
      <c r="BA347" s="67"/>
      <c r="BB347" s="67"/>
      <c r="BC347" s="67"/>
      <c r="BD347" s="67"/>
      <c r="BE347" s="67"/>
      <c r="BF347" s="67"/>
      <c r="BG347" s="67"/>
      <c r="BH347" s="67"/>
      <c r="BI347" s="67"/>
      <c r="BJ347" s="67"/>
      <c r="BK347" s="67"/>
      <c r="BL347" s="67"/>
      <c r="BM347" s="67"/>
      <c r="BN347" s="49"/>
      <c r="BO347" s="49"/>
      <c r="BP347" s="49"/>
      <c r="BQ347" s="49"/>
      <c r="BR347" s="49"/>
      <c r="BS347" s="49"/>
      <c r="BT347" s="49"/>
      <c r="BU347" s="49"/>
      <c r="BV347" s="49"/>
      <c r="BW347" s="49"/>
      <c r="BX347" s="49"/>
      <c r="BY347" s="49"/>
      <c r="BZ347" s="49"/>
      <c r="CA347" s="49"/>
      <c r="CB347" s="49"/>
      <c r="CC347" s="49"/>
      <c r="CD347" s="49"/>
      <c r="CE347" s="49"/>
      <c r="CF347" s="49"/>
      <c r="CG347" s="49"/>
      <c r="CH347" s="49"/>
      <c r="CI347" s="49"/>
      <c r="CJ347" s="49"/>
      <c r="CK347" s="49"/>
      <c r="CL347" s="49"/>
      <c r="CM347" s="49"/>
      <c r="CN347" s="49"/>
      <c r="CO347" s="49"/>
      <c r="CP347" s="49"/>
      <c r="CQ347" s="49"/>
      <c r="CR347" s="49"/>
      <c r="CS347" s="49"/>
      <c r="CT347" s="49"/>
      <c r="CU347" s="49"/>
      <c r="CV347" s="49"/>
      <c r="CW347" s="49"/>
      <c r="CX347" s="49"/>
      <c r="CY347" s="49"/>
      <c r="CZ347" s="49"/>
      <c r="DA347" s="49"/>
      <c r="DB347" s="49"/>
      <c r="DC347" s="49"/>
      <c r="DD347" s="49"/>
      <c r="DE347" s="49"/>
      <c r="DF347" s="49"/>
      <c r="DG347" s="49"/>
      <c r="DH347" s="49"/>
      <c r="DI347" s="49"/>
      <c r="DJ347" s="49"/>
      <c r="DK347" s="49"/>
      <c r="DL347" s="49"/>
      <c r="DM347" s="49"/>
      <c r="DN347" s="49"/>
      <c r="DO347" s="49"/>
      <c r="DP347" s="49"/>
      <c r="DQ347" s="49"/>
      <c r="DR347" s="49"/>
      <c r="DS347" s="49"/>
      <c r="DT347" s="49"/>
      <c r="DU347" s="49"/>
      <c r="DV347" s="49"/>
      <c r="DW347" s="49"/>
      <c r="DX347" s="49"/>
      <c r="DY347" s="49"/>
      <c r="DZ347" s="49"/>
      <c r="EA347" s="49"/>
      <c r="EB347" s="49"/>
      <c r="EC347" s="49"/>
      <c r="ED347" s="49"/>
      <c r="EE347" s="49"/>
      <c r="EF347" s="49"/>
      <c r="EG347" s="49"/>
      <c r="EH347" s="49"/>
      <c r="EI347" s="49"/>
      <c r="EJ347" s="49"/>
      <c r="EK347" s="49"/>
      <c r="EL347" s="49"/>
      <c r="EM347" s="49"/>
      <c r="EN347" s="49"/>
      <c r="EO347" s="49"/>
      <c r="EP347" s="49"/>
      <c r="EQ347" s="49"/>
      <c r="ER347" s="49"/>
      <c r="ES347" s="49"/>
      <c r="ET347" s="49"/>
      <c r="EU347" s="49"/>
      <c r="EV347" s="49"/>
      <c r="EW347" s="49"/>
      <c r="EX347" s="49"/>
      <c r="EY347" s="49"/>
      <c r="EZ347" s="49"/>
      <c r="FA347" s="49"/>
      <c r="FB347" s="49"/>
      <c r="FC347" s="49"/>
      <c r="FD347" s="49"/>
      <c r="FE347" s="49"/>
      <c r="FF347" s="49"/>
      <c r="FG347" s="49"/>
      <c r="FH347" s="49"/>
      <c r="FI347" s="49"/>
      <c r="FJ347" s="49"/>
      <c r="FK347" s="49"/>
      <c r="FL347" s="49"/>
      <c r="FM347" s="49"/>
      <c r="FN347" s="49"/>
      <c r="FO347" s="49"/>
      <c r="FP347" s="49"/>
      <c r="FQ347" s="49"/>
      <c r="FR347" s="49"/>
      <c r="FS347" s="49"/>
      <c r="FT347" s="49"/>
      <c r="FU347" s="49"/>
      <c r="FV347" s="49"/>
      <c r="FW347" s="49"/>
      <c r="FX347" s="49"/>
      <c r="FY347" s="49"/>
      <c r="FZ347" s="49"/>
      <c r="GA347" s="49"/>
      <c r="GB347" s="49"/>
      <c r="GC347" s="49"/>
    </row>
    <row r="348" spans="1:185" ht="14.65" thickBot="1" x14ac:dyDescent="0.5">
      <c r="A348" s="268" t="s">
        <v>493</v>
      </c>
      <c r="B348" s="269"/>
      <c r="C348" s="269"/>
      <c r="D348" s="269"/>
      <c r="E348" s="276"/>
      <c r="F348" s="269"/>
      <c r="G348" s="270"/>
      <c r="H348" s="268">
        <v>9.76</v>
      </c>
      <c r="I348" s="268">
        <v>12.81</v>
      </c>
      <c r="J348" s="268">
        <v>2</v>
      </c>
      <c r="K348" s="271" t="b">
        <v>1</v>
      </c>
    </row>
  </sheetData>
  <sheetProtection formatColumns="0" formatRows="0"/>
  <sortState xmlns:xlrd2="http://schemas.microsoft.com/office/spreadsheetml/2017/richdata2" ref="AS72:AT78">
    <sortCondition descending="1" ref="AT72:AT78"/>
  </sortState>
  <mergeCells count="45">
    <mergeCell ref="R204:R205"/>
    <mergeCell ref="S161:T161"/>
    <mergeCell ref="B47:C47"/>
    <mergeCell ref="S167:T167"/>
    <mergeCell ref="S166:T166"/>
    <mergeCell ref="S165:T165"/>
    <mergeCell ref="S164:T164"/>
    <mergeCell ref="S163:T163"/>
    <mergeCell ref="B53:D53"/>
    <mergeCell ref="B54:D54"/>
    <mergeCell ref="E140:E141"/>
    <mergeCell ref="D140:D141"/>
    <mergeCell ref="B50:D50"/>
    <mergeCell ref="B8:H8"/>
    <mergeCell ref="S152:T152"/>
    <mergeCell ref="S151:T151"/>
    <mergeCell ref="S150:T150"/>
    <mergeCell ref="S159:T159"/>
    <mergeCell ref="S158:T158"/>
    <mergeCell ref="S157:T157"/>
    <mergeCell ref="S156:T156"/>
    <mergeCell ref="S155:T155"/>
    <mergeCell ref="B21:H21"/>
    <mergeCell ref="B20:H20"/>
    <mergeCell ref="B19:H19"/>
    <mergeCell ref="B18:H18"/>
    <mergeCell ref="B9:H9"/>
    <mergeCell ref="B51:D51"/>
    <mergeCell ref="B52:D52"/>
    <mergeCell ref="B12:H12"/>
    <mergeCell ref="B14:H14"/>
    <mergeCell ref="B13:H13"/>
    <mergeCell ref="O226:O227"/>
    <mergeCell ref="N226:N227"/>
    <mergeCell ref="M226:M227"/>
    <mergeCell ref="B22:H22"/>
    <mergeCell ref="M166:N166"/>
    <mergeCell ref="M165:N165"/>
    <mergeCell ref="M164:N164"/>
    <mergeCell ref="D166:E166"/>
    <mergeCell ref="D165:E165"/>
    <mergeCell ref="D164:E164"/>
    <mergeCell ref="B180:B184"/>
    <mergeCell ref="K180:K184"/>
    <mergeCell ref="F140:F141"/>
  </mergeCells>
  <phoneticPr fontId="2" type="noConversion"/>
  <conditionalFormatting sqref="AN73:AN78">
    <cfRule type="dataBar" priority="31">
      <dataBar>
        <cfvo type="min"/>
        <cfvo type="max"/>
        <color rgb="FFFF555A"/>
      </dataBar>
      <extLst>
        <ext xmlns:x14="http://schemas.microsoft.com/office/spreadsheetml/2009/9/main" uri="{B025F937-C7B1-47D3-B67F-A62EFF666E3E}">
          <x14:id>{090D6D24-A105-4853-9570-FCF2982D79FA}</x14:id>
        </ext>
      </extLst>
    </cfRule>
  </conditionalFormatting>
  <conditionalFormatting sqref="AT73:AT75">
    <cfRule type="dataBar" priority="28">
      <dataBar>
        <cfvo type="min"/>
        <cfvo type="max"/>
        <color rgb="FFFF555A"/>
      </dataBar>
      <extLst>
        <ext xmlns:x14="http://schemas.microsoft.com/office/spreadsheetml/2009/9/main" uri="{B025F937-C7B1-47D3-B67F-A62EFF666E3E}">
          <x14:id>{42859950-9B8E-473D-995E-729DD68B0B99}</x14:id>
        </ext>
      </extLst>
    </cfRule>
  </conditionalFormatting>
  <conditionalFormatting sqref="AK96:AK102">
    <cfRule type="dataBar" priority="27">
      <dataBar>
        <cfvo type="min"/>
        <cfvo type="max"/>
        <color rgb="FFFF555A"/>
      </dataBar>
      <extLst>
        <ext xmlns:x14="http://schemas.microsoft.com/office/spreadsheetml/2009/9/main" uri="{B025F937-C7B1-47D3-B67F-A62EFF666E3E}">
          <x14:id>{09CBC1DA-CC83-4C37-8CCF-D8CBA2BACD6A}</x14:id>
        </ext>
      </extLst>
    </cfRule>
  </conditionalFormatting>
  <conditionalFormatting sqref="AK118:AK122">
    <cfRule type="dataBar" priority="26">
      <dataBar>
        <cfvo type="min"/>
        <cfvo type="max"/>
        <color rgb="FF63C384"/>
      </dataBar>
      <extLst>
        <ext xmlns:x14="http://schemas.microsoft.com/office/spreadsheetml/2009/9/main" uri="{B025F937-C7B1-47D3-B67F-A62EFF666E3E}">
          <x14:id>{0FC3A44B-C07E-4A71-B4C0-2DCE51ED1F34}</x14:id>
        </ext>
      </extLst>
    </cfRule>
  </conditionalFormatting>
  <conditionalFormatting sqref="AN118:AN122">
    <cfRule type="dataBar" priority="25">
      <dataBar>
        <cfvo type="min"/>
        <cfvo type="max"/>
        <color rgb="FF63C384"/>
      </dataBar>
      <extLst>
        <ext xmlns:x14="http://schemas.microsoft.com/office/spreadsheetml/2009/9/main" uri="{B025F937-C7B1-47D3-B67F-A62EFF666E3E}">
          <x14:id>{BD0F364A-FB72-45B5-96B1-71FF5EBC64A8}</x14:id>
        </ext>
      </extLst>
    </cfRule>
  </conditionalFormatting>
  <conditionalFormatting sqref="AR118:AR121">
    <cfRule type="dataBar" priority="24">
      <dataBar>
        <cfvo type="min"/>
        <cfvo type="max"/>
        <color rgb="FF63C384"/>
      </dataBar>
      <extLst>
        <ext xmlns:x14="http://schemas.microsoft.com/office/spreadsheetml/2009/9/main" uri="{B025F937-C7B1-47D3-B67F-A62EFF666E3E}">
          <x14:id>{DE1A1FED-E398-4578-8945-29D4B8AC4B59}</x14:id>
        </ext>
      </extLst>
    </cfRule>
  </conditionalFormatting>
  <conditionalFormatting sqref="AK129:AK133">
    <cfRule type="dataBar" priority="23">
      <dataBar>
        <cfvo type="min"/>
        <cfvo type="max"/>
        <color rgb="FF63C384"/>
      </dataBar>
      <extLst>
        <ext xmlns:x14="http://schemas.microsoft.com/office/spreadsheetml/2009/9/main" uri="{B025F937-C7B1-47D3-B67F-A62EFF666E3E}">
          <x14:id>{6EAFD822-6ABE-4F97-90BD-28AB215D9973}</x14:id>
        </ext>
      </extLst>
    </cfRule>
  </conditionalFormatting>
  <conditionalFormatting sqref="BB136:BB141 BC146:BC149 BH146 BI136:BI137">
    <cfRule type="dataBar" priority="21">
      <dataBar>
        <cfvo type="min"/>
        <cfvo type="max"/>
        <color rgb="FFFF555A"/>
      </dataBar>
      <extLst>
        <ext xmlns:x14="http://schemas.microsoft.com/office/spreadsheetml/2009/9/main" uri="{B025F937-C7B1-47D3-B67F-A62EFF666E3E}">
          <x14:id>{8CCF5B8D-81EA-4383-AEDA-1CF9AD9659F5}</x14:id>
        </ext>
      </extLst>
    </cfRule>
  </conditionalFormatting>
  <conditionalFormatting sqref="BB86:BB91 BI86 BH96 BC96:BC99">
    <cfRule type="dataBar" priority="20">
      <dataBar>
        <cfvo type="min"/>
        <cfvo type="max"/>
        <color rgb="FFFF555A"/>
      </dataBar>
      <extLst>
        <ext xmlns:x14="http://schemas.microsoft.com/office/spreadsheetml/2009/9/main" uri="{B025F937-C7B1-47D3-B67F-A62EFF666E3E}">
          <x14:id>{F46A604D-83CD-48A5-8269-0DFAB6300334}</x14:id>
        </ext>
      </extLst>
    </cfRule>
  </conditionalFormatting>
  <conditionalFormatting sqref="S151:T161">
    <cfRule type="dataBar" priority="17">
      <dataBar>
        <cfvo type="min"/>
        <cfvo type="max"/>
        <color rgb="FFCC99FF"/>
      </dataBar>
      <extLst>
        <ext xmlns:x14="http://schemas.microsoft.com/office/spreadsheetml/2009/9/main" uri="{B025F937-C7B1-47D3-B67F-A62EFF666E3E}">
          <x14:id>{50D0C9A0-E097-4FBF-95D2-8D9372472DE1}</x14:id>
        </ext>
      </extLst>
    </cfRule>
  </conditionalFormatting>
  <conditionalFormatting sqref="AK73:AK81 AK83:AK92">
    <cfRule type="dataBar" priority="33">
      <dataBar>
        <cfvo type="min"/>
        <cfvo type="max"/>
        <color rgb="FFFF555A"/>
      </dataBar>
      <extLst>
        <ext xmlns:x14="http://schemas.microsoft.com/office/spreadsheetml/2009/9/main" uri="{B025F937-C7B1-47D3-B67F-A62EFF666E3E}">
          <x14:id>{C0E3004A-10EC-4F68-938A-A8B563C5A8E3}</x14:id>
        </ext>
      </extLst>
    </cfRule>
  </conditionalFormatting>
  <conditionalFormatting sqref="AN73:AN92">
    <cfRule type="dataBar" priority="35">
      <dataBar>
        <cfvo type="min"/>
        <cfvo type="max"/>
        <color rgb="FFFF555A"/>
      </dataBar>
      <extLst>
        <ext xmlns:x14="http://schemas.microsoft.com/office/spreadsheetml/2009/9/main" uri="{B025F937-C7B1-47D3-B67F-A62EFF666E3E}">
          <x14:id>{25376670-96DF-4EF5-815D-BB69C0843A90}</x14:id>
        </ext>
      </extLst>
    </cfRule>
  </conditionalFormatting>
  <conditionalFormatting sqref="AQ73:AQ92">
    <cfRule type="dataBar" priority="37">
      <dataBar>
        <cfvo type="min"/>
        <cfvo type="max"/>
        <color rgb="FFFF555A"/>
      </dataBar>
      <extLst>
        <ext xmlns:x14="http://schemas.microsoft.com/office/spreadsheetml/2009/9/main" uri="{B025F937-C7B1-47D3-B67F-A62EFF666E3E}">
          <x14:id>{C69101CF-7BED-4D52-835A-A4ECE4D54ADF}</x14:id>
        </ext>
      </extLst>
    </cfRule>
  </conditionalFormatting>
  <conditionalFormatting sqref="AK82">
    <cfRule type="dataBar" priority="16">
      <dataBar>
        <cfvo type="min"/>
        <cfvo type="max"/>
        <color rgb="FFFF555A"/>
      </dataBar>
      <extLst>
        <ext xmlns:x14="http://schemas.microsoft.com/office/spreadsheetml/2009/9/main" uri="{B025F937-C7B1-47D3-B67F-A62EFF666E3E}">
          <x14:id>{BF39B250-1917-49C4-BEE8-7BE9B6125B93}</x14:id>
        </ext>
      </extLst>
    </cfRule>
  </conditionalFormatting>
  <conditionalFormatting sqref="AK73:AK83">
    <cfRule type="dataBar" priority="15">
      <dataBar>
        <cfvo type="min"/>
        <cfvo type="max"/>
        <color rgb="FFFF555A"/>
      </dataBar>
      <extLst>
        <ext xmlns:x14="http://schemas.microsoft.com/office/spreadsheetml/2009/9/main" uri="{B025F937-C7B1-47D3-B67F-A62EFF666E3E}">
          <x14:id>{FC38EF88-ED13-4413-BF45-40972F2268BA}</x14:id>
        </ext>
      </extLst>
    </cfRule>
  </conditionalFormatting>
  <conditionalFormatting sqref="AK114">
    <cfRule type="dataBar" priority="14">
      <dataBar>
        <cfvo type="min"/>
        <cfvo type="max"/>
        <color rgb="FFFF555A"/>
      </dataBar>
      <extLst>
        <ext xmlns:x14="http://schemas.microsoft.com/office/spreadsheetml/2009/9/main" uri="{B025F937-C7B1-47D3-B67F-A62EFF666E3E}">
          <x14:id>{4E71E1BB-FE0B-4C87-B920-5ED079439183}</x14:id>
        </ext>
      </extLst>
    </cfRule>
  </conditionalFormatting>
  <conditionalFormatting sqref="AK96:AK103 AK105:AK114">
    <cfRule type="dataBar" priority="38">
      <dataBar>
        <cfvo type="min"/>
        <cfvo type="max"/>
        <color rgb="FFFF555A"/>
      </dataBar>
      <extLst>
        <ext xmlns:x14="http://schemas.microsoft.com/office/spreadsheetml/2009/9/main" uri="{B025F937-C7B1-47D3-B67F-A62EFF666E3E}">
          <x14:id>{768C3449-3C19-4FF3-A52D-CFF8B86EB49A}</x14:id>
        </ext>
      </extLst>
    </cfRule>
  </conditionalFormatting>
  <conditionalFormatting sqref="AK104">
    <cfRule type="dataBar" priority="11">
      <dataBar>
        <cfvo type="min"/>
        <cfvo type="max"/>
        <color rgb="FFFF555A"/>
      </dataBar>
      <extLst>
        <ext xmlns:x14="http://schemas.microsoft.com/office/spreadsheetml/2009/9/main" uri="{B025F937-C7B1-47D3-B67F-A62EFF666E3E}">
          <x14:id>{2DF079EB-F123-4CF7-9707-3A6C5881673C}</x14:id>
        </ext>
      </extLst>
    </cfRule>
  </conditionalFormatting>
  <conditionalFormatting sqref="AK104">
    <cfRule type="dataBar" priority="12">
      <dataBar>
        <cfvo type="min"/>
        <cfvo type="max"/>
        <color rgb="FFFF555A"/>
      </dataBar>
      <extLst>
        <ext xmlns:x14="http://schemas.microsoft.com/office/spreadsheetml/2009/9/main" uri="{B025F937-C7B1-47D3-B67F-A62EFF666E3E}">
          <x14:id>{35926182-5ED2-4F9D-A7F2-62CD5D8048ED}</x14:id>
        </ext>
      </extLst>
    </cfRule>
  </conditionalFormatting>
  <conditionalFormatting sqref="AT72:AT78">
    <cfRule type="dataBar" priority="10">
      <dataBar>
        <cfvo type="min"/>
        <cfvo type="max"/>
        <color rgb="FFFF555A"/>
      </dataBar>
      <extLst>
        <ext xmlns:x14="http://schemas.microsoft.com/office/spreadsheetml/2009/9/main" uri="{B025F937-C7B1-47D3-B67F-A62EFF666E3E}">
          <x14:id>{C836CBE4-4CA6-47BE-AFB0-D529C675D072}</x14:id>
        </ext>
      </extLst>
    </cfRule>
  </conditionalFormatting>
  <conditionalFormatting sqref="AK96:AK104">
    <cfRule type="dataBar" priority="9">
      <dataBar>
        <cfvo type="min"/>
        <cfvo type="max"/>
        <color rgb="FFFF555A"/>
      </dataBar>
      <extLst>
        <ext xmlns:x14="http://schemas.microsoft.com/office/spreadsheetml/2009/9/main" uri="{B025F937-C7B1-47D3-B67F-A62EFF666E3E}">
          <x14:id>{AFE9EB37-6DC5-4549-9CC5-88BD5AF548B1}</x14:id>
        </ext>
      </extLst>
    </cfRule>
  </conditionalFormatting>
  <conditionalFormatting sqref="AK123:AK124">
    <cfRule type="dataBar" priority="8">
      <dataBar>
        <cfvo type="min"/>
        <cfvo type="max"/>
        <color rgb="FF63C384"/>
      </dataBar>
      <extLst>
        <ext xmlns:x14="http://schemas.microsoft.com/office/spreadsheetml/2009/9/main" uri="{B025F937-C7B1-47D3-B67F-A62EFF666E3E}">
          <x14:id>{5223ED5A-329B-413C-A7F1-88B106B4F33D}</x14:id>
        </ext>
      </extLst>
    </cfRule>
  </conditionalFormatting>
  <conditionalFormatting sqref="AK118:AK124">
    <cfRule type="dataBar" priority="7">
      <dataBar>
        <cfvo type="min"/>
        <cfvo type="max"/>
        <color rgb="FF63C384"/>
      </dataBar>
      <extLst>
        <ext xmlns:x14="http://schemas.microsoft.com/office/spreadsheetml/2009/9/main" uri="{B025F937-C7B1-47D3-B67F-A62EFF666E3E}">
          <x14:id>{AA71B7D6-226D-47B1-8E41-A2804E3CBBC5}</x14:id>
        </ext>
      </extLst>
    </cfRule>
  </conditionalFormatting>
  <conditionalFormatting sqref="BI87">
    <cfRule type="dataBar" priority="6">
      <dataBar>
        <cfvo type="min"/>
        <cfvo type="max"/>
        <color rgb="FFFF555A"/>
      </dataBar>
      <extLst>
        <ext xmlns:x14="http://schemas.microsoft.com/office/spreadsheetml/2009/9/main" uri="{B025F937-C7B1-47D3-B67F-A62EFF666E3E}">
          <x14:id>{27F872DC-0852-426B-8509-BA624E0FCCFB}</x14:id>
        </ext>
      </extLst>
    </cfRule>
  </conditionalFormatting>
  <conditionalFormatting sqref="P206:P217">
    <cfRule type="dataBar" priority="5">
      <dataBar>
        <cfvo type="min"/>
        <cfvo type="max"/>
        <color rgb="FFFFB628"/>
      </dataBar>
      <extLst>
        <ext xmlns:x14="http://schemas.microsoft.com/office/spreadsheetml/2009/9/main" uri="{B025F937-C7B1-47D3-B67F-A62EFF666E3E}">
          <x14:id>{B616BBEC-A2C7-447D-8018-C42081D5BAEE}</x14:id>
        </ext>
      </extLst>
    </cfRule>
  </conditionalFormatting>
  <conditionalFormatting sqref="R206:R217">
    <cfRule type="dataBar" priority="4">
      <dataBar>
        <cfvo type="min"/>
        <cfvo type="max"/>
        <color rgb="FFFF555A"/>
      </dataBar>
      <extLst>
        <ext xmlns:x14="http://schemas.microsoft.com/office/spreadsheetml/2009/9/main" uri="{B025F937-C7B1-47D3-B67F-A62EFF666E3E}">
          <x14:id>{9805787B-53A3-47D3-9E07-2D7578A69AE3}</x14:id>
        </ext>
      </extLst>
    </cfRule>
  </conditionalFormatting>
  <conditionalFormatting sqref="BF207:BF216">
    <cfRule type="dataBar" priority="2">
      <dataBar>
        <cfvo type="min"/>
        <cfvo type="max"/>
        <color rgb="FFFF555A"/>
      </dataBar>
      <extLst>
        <ext xmlns:x14="http://schemas.microsoft.com/office/spreadsheetml/2009/9/main" uri="{B025F937-C7B1-47D3-B67F-A62EFF666E3E}">
          <x14:id>{D4CC2CF9-7103-4258-94E5-F0ED2C570B6C}</x14:id>
        </ext>
      </extLst>
    </cfRule>
  </conditionalFormatting>
  <conditionalFormatting sqref="BF206">
    <cfRule type="dataBar" priority="1">
      <dataBar>
        <cfvo type="min"/>
        <cfvo type="max"/>
        <color rgb="FFFF555A"/>
      </dataBar>
      <extLst>
        <ext xmlns:x14="http://schemas.microsoft.com/office/spreadsheetml/2009/9/main" uri="{B025F937-C7B1-47D3-B67F-A62EFF666E3E}">
          <x14:id>{87034540-FEFF-4F1B-98BB-932FFD977DF7}</x14:id>
        </ext>
      </extLst>
    </cfRule>
  </conditionalFormatting>
  <dataValidations count="18">
    <dataValidation type="list" allowBlank="1" showInputMessage="1" showErrorMessage="1" sqref="D164:D166 M164:M166" xr:uid="{77309DB2-2827-4C16-A006-E6FCD7E1746A}">
      <formula1>$B$142:$B$147</formula1>
    </dataValidation>
    <dataValidation type="list" allowBlank="1" showInputMessage="1" showErrorMessage="1" sqref="C127 L127" xr:uid="{8F8B6FC2-13E3-4EB4-8B1C-FE0B4E9D08DD}">
      <formula1>$AJ$118:$AJ$125</formula1>
    </dataValidation>
    <dataValidation type="list" allowBlank="1" showInputMessage="1" showErrorMessage="1" sqref="C128 L128" xr:uid="{82D94425-05F6-4E4B-B105-2504093BF939}">
      <formula1>$AM$118:$AM$125</formula1>
    </dataValidation>
    <dataValidation type="list" allowBlank="1" showInputMessage="1" showErrorMessage="1" sqref="C129 L129" xr:uid="{DDACB156-5C26-4B97-8284-774E1BE34366}">
      <formula1>$AQ$118:$AQ$125</formula1>
    </dataValidation>
    <dataValidation type="list" allowBlank="1" showInputMessage="1" showErrorMessage="1" sqref="C130 L130" xr:uid="{CB140FCB-4078-472B-AE6D-C2C39D21ED48}">
      <formula1>$AJ$129:$AJ$134</formula1>
    </dataValidation>
    <dataValidation type="list" allowBlank="1" showInputMessage="1" showErrorMessage="1" sqref="F130:F131 O130:O131" xr:uid="{EEE6AA8F-A63F-4A5D-BBAE-BA58C0683CBF}">
      <formula1>$AM$129:$AM$130</formula1>
    </dataValidation>
    <dataValidation type="list" allowBlank="1" showInputMessage="1" showErrorMessage="1" sqref="C131 L131" xr:uid="{B2351DC1-1C09-4C82-AEAC-C76F65FFAF4C}">
      <formula1>$AQ$129:$AQ$130</formula1>
    </dataValidation>
    <dataValidation type="list" allowBlank="1" showInputMessage="1" showErrorMessage="1" sqref="C134 L134" xr:uid="{9293D34A-6D31-4C27-8EC3-88B71F54360E}">
      <formula1>$AK$140:$AK$143</formula1>
    </dataValidation>
    <dataValidation type="list" allowBlank="1" showInputMessage="1" showErrorMessage="1" sqref="C135 L135" xr:uid="{242245D5-8F38-4C19-B82F-C6737C69BC8B}">
      <formula1>$AK$144:$AK$146</formula1>
    </dataValidation>
    <dataValidation type="list" allowBlank="1" showInputMessage="1" showErrorMessage="1" sqref="C136 L136" xr:uid="{B26328F2-57FD-46DF-9F1B-47FDA86D6C84}">
      <formula1>$AK$147:$AK$150</formula1>
    </dataValidation>
    <dataValidation type="list" allowBlank="1" showInputMessage="1" showErrorMessage="1" sqref="C137 L137" xr:uid="{2887D272-7A38-490E-AF87-B9175D44C2CE}">
      <formula1>$AK$151:$AK$152</formula1>
    </dataValidation>
    <dataValidation type="list" allowBlank="1" showInputMessage="1" showErrorMessage="1" sqref="C101 L107 C106:C107 L120:L124 C120:C124 L101" xr:uid="{D24D47C4-F528-4FF4-A81C-329061A38F84}">
      <formula1>$AN$96:$AN$97</formula1>
    </dataValidation>
    <dataValidation type="list" allowBlank="1" showInputMessage="1" showErrorMessage="1" sqref="C93 L93" xr:uid="{0DE88FEC-214B-4299-A1CC-FEE358D499C0}">
      <formula1>$AJ$72:$AJ$92</formula1>
    </dataValidation>
    <dataValidation type="list" allowBlank="1" showInputMessage="1" showErrorMessage="1" sqref="C95 L95" xr:uid="{B804634A-1868-4897-8302-A6360439929B}">
      <formula1>$AP$72:$AP$92</formula1>
    </dataValidation>
    <dataValidation type="list" allowBlank="1" showInputMessage="1" showErrorMessage="1" sqref="C94 L94" xr:uid="{5111955E-FEC3-41F3-A045-F0F810B8D96E}">
      <formula1>$AM$72:$AM$92</formula1>
    </dataValidation>
    <dataValidation type="list" allowBlank="1" showInputMessage="1" showErrorMessage="1" sqref="C96 L96" xr:uid="{17B345A2-55C0-46E3-9A65-5840FAB49683}">
      <formula1>$AS$72:$AS$92</formula1>
    </dataValidation>
    <dataValidation type="list" allowBlank="1" showInputMessage="1" showErrorMessage="1" sqref="C90 L90" xr:uid="{AF3707F5-81BD-4F3F-914E-3647CF7C6500}">
      <formula1>$AJ$60:$AJ$68</formula1>
    </dataValidation>
    <dataValidation type="list" allowBlank="1" showInputMessage="1" showErrorMessage="1" sqref="C99 L99" xr:uid="{468BDC5D-33D5-4500-BE56-A209FA3E371F}">
      <formula1>$AJ$96:$AJ$114</formula1>
    </dataValidation>
  </dataValidations>
  <hyperlinks>
    <hyperlink ref="B25" location="notes" display="Technical Documentation" xr:uid="{938C8433-907B-46E1-AB22-4F869A5CA6B2}"/>
    <hyperlink ref="B24" location="glossary" display="Glossary" xr:uid="{42CF1AA0-E3BC-49B5-BF4D-318A213061DF}"/>
    <hyperlink ref="B41" location="input" display="1. Input" xr:uid="{E5B53B78-9BEC-4F77-BE16-85CA3223E651}"/>
    <hyperlink ref="B42" location="parameters" display="2. Model Parameters " xr:uid="{6B134B66-18F3-471E-808C-6280F06BFE6A}"/>
    <hyperlink ref="B43" location="output" display="3. Output" xr:uid="{37ED5CA2-BC93-4F11-BB1D-779C59028CAF}"/>
    <hyperlink ref="B44" location="netzero" display="4. Net-zero Energy Summary" xr:uid="{1DF5A952-FF16-495C-BF84-9B45B00E8881}"/>
    <hyperlink ref="B47" location="financing" display="5. Financing the Net-zero Retrofit - Retrofit Business Case" xr:uid="{3A2AB270-DB4E-4BD7-B97A-53826AD64F6B}"/>
    <hyperlink ref="A88" location="top" display="top" xr:uid="{ADF18669-A8CD-41EA-ADAC-6D90F43EDDC0}"/>
    <hyperlink ref="A149" location="top" display="top" xr:uid="{1BE21891-46CB-405E-AA53-1E8AFB7230F4}"/>
    <hyperlink ref="A172" location="top" display="top" xr:uid="{38BB8F0C-D626-4156-8586-F0729645F39F}"/>
    <hyperlink ref="A202" location="top" display="top" xr:uid="{4576DDC0-4967-4CBE-91CE-153193B4A72E}"/>
    <hyperlink ref="J229" location="top" display="top" xr:uid="{1EDFF0E2-1EC2-458A-B048-DABC2E26BDCD}"/>
    <hyperlink ref="A228" location="top" display="top" xr:uid="{0076F653-5F78-4FE0-A649-B6D97A8CA72D}"/>
    <hyperlink ref="J202" location="top" display="top" xr:uid="{7249AA87-26E1-4716-988D-20039DE10AD0}"/>
    <hyperlink ref="J172" location="top" display="top" xr:uid="{55237ECE-500D-4E2A-A8E3-BE00D990AA48}"/>
    <hyperlink ref="J149" location="top" display="top" xr:uid="{D3855824-8E51-485F-A384-AFB0C03A900C}"/>
    <hyperlink ref="A288" location="top" display="top" xr:uid="{F68DE1AD-ED39-475B-A8D6-3E5EE0B37F90}"/>
    <hyperlink ref="A320" location="top" display="top" xr:uid="{D69B1B4C-A5FE-4715-9214-507C5BFE402D}"/>
    <hyperlink ref="B203" location="modelB" display="See Model B" xr:uid="{AF6C97D2-052C-4FEB-B2FE-88C1908A409A}"/>
    <hyperlink ref="B47:C47" location="financing" display="5. Financing your Solar Home Upgrade" xr:uid="{79181467-5F50-4807-8646-6E8FFD1BFC66}"/>
    <hyperlink ref="C247" r:id="rId1" xr:uid="{67AD5BC0-A689-4C84-AD72-1A5976DD768B}"/>
    <hyperlink ref="B5" r:id="rId2" display="check www.brightbuildings.ca for the latest version" xr:uid="{0A84539A-674D-447F-81BA-8A71D909D845}"/>
    <hyperlink ref="A345" location="top" display="top" xr:uid="{B03291D1-95EE-4E6F-91C1-CC949076B767}"/>
  </hyperlinks>
  <pageMargins left="0.25" right="0.25" top="0.75" bottom="0.75" header="0.3" footer="0.3"/>
  <pageSetup paperSize="3" scale="39" orientation="portrait" r:id="rId3"/>
  <drawing r:id="rId4"/>
  <legacyDrawing r:id="rId5"/>
  <extLst>
    <ext xmlns:x14="http://schemas.microsoft.com/office/spreadsheetml/2009/9/main" uri="{78C0D931-6437-407d-A8EE-F0AAD7539E65}">
      <x14:conditionalFormattings>
        <x14:conditionalFormatting xmlns:xm="http://schemas.microsoft.com/office/excel/2006/main">
          <x14:cfRule type="dataBar" id="{090D6D24-A105-4853-9570-FCF2982D79FA}">
            <x14:dataBar minLength="0" maxLength="100" gradient="0">
              <x14:cfvo type="autoMin"/>
              <x14:cfvo type="autoMax"/>
              <x14:negativeFillColor rgb="FFFF0000"/>
              <x14:axisColor rgb="FF000000"/>
            </x14:dataBar>
          </x14:cfRule>
          <xm:sqref>AN73:AN78</xm:sqref>
        </x14:conditionalFormatting>
        <x14:conditionalFormatting xmlns:xm="http://schemas.microsoft.com/office/excel/2006/main">
          <x14:cfRule type="dataBar" id="{42859950-9B8E-473D-995E-729DD68B0B99}">
            <x14:dataBar minLength="0" maxLength="100" gradient="0">
              <x14:cfvo type="autoMin"/>
              <x14:cfvo type="autoMax"/>
              <x14:negativeFillColor rgb="FFFF0000"/>
              <x14:axisColor rgb="FF000000"/>
            </x14:dataBar>
          </x14:cfRule>
          <xm:sqref>AT73:AT75</xm:sqref>
        </x14:conditionalFormatting>
        <x14:conditionalFormatting xmlns:xm="http://schemas.microsoft.com/office/excel/2006/main">
          <x14:cfRule type="dataBar" id="{09CBC1DA-CC83-4C37-8CCF-D8CBA2BACD6A}">
            <x14:dataBar minLength="0" maxLength="100" gradient="0">
              <x14:cfvo type="autoMin"/>
              <x14:cfvo type="autoMax"/>
              <x14:negativeFillColor rgb="FFFF0000"/>
              <x14:axisColor rgb="FF000000"/>
            </x14:dataBar>
          </x14:cfRule>
          <xm:sqref>AK96:AK102</xm:sqref>
        </x14:conditionalFormatting>
        <x14:conditionalFormatting xmlns:xm="http://schemas.microsoft.com/office/excel/2006/main">
          <x14:cfRule type="dataBar" id="{0FC3A44B-C07E-4A71-B4C0-2DCE51ED1F34}">
            <x14:dataBar minLength="0" maxLength="100" gradient="0">
              <x14:cfvo type="autoMin"/>
              <x14:cfvo type="autoMax"/>
              <x14:negativeFillColor rgb="FFFF0000"/>
              <x14:axisColor rgb="FF000000"/>
            </x14:dataBar>
          </x14:cfRule>
          <xm:sqref>AK118:AK122</xm:sqref>
        </x14:conditionalFormatting>
        <x14:conditionalFormatting xmlns:xm="http://schemas.microsoft.com/office/excel/2006/main">
          <x14:cfRule type="dataBar" id="{BD0F364A-FB72-45B5-96B1-71FF5EBC64A8}">
            <x14:dataBar minLength="0" maxLength="100" gradient="0">
              <x14:cfvo type="autoMin"/>
              <x14:cfvo type="autoMax"/>
              <x14:negativeFillColor rgb="FFFF0000"/>
              <x14:axisColor rgb="FF000000"/>
            </x14:dataBar>
          </x14:cfRule>
          <xm:sqref>AN118:AN122</xm:sqref>
        </x14:conditionalFormatting>
        <x14:conditionalFormatting xmlns:xm="http://schemas.microsoft.com/office/excel/2006/main">
          <x14:cfRule type="dataBar" id="{DE1A1FED-E398-4578-8945-29D4B8AC4B59}">
            <x14:dataBar minLength="0" maxLength="100" gradient="0">
              <x14:cfvo type="autoMin"/>
              <x14:cfvo type="autoMax"/>
              <x14:negativeFillColor rgb="FFFF0000"/>
              <x14:axisColor rgb="FF000000"/>
            </x14:dataBar>
          </x14:cfRule>
          <xm:sqref>AR118:AR121</xm:sqref>
        </x14:conditionalFormatting>
        <x14:conditionalFormatting xmlns:xm="http://schemas.microsoft.com/office/excel/2006/main">
          <x14:cfRule type="dataBar" id="{6EAFD822-6ABE-4F97-90BD-28AB215D9973}">
            <x14:dataBar minLength="0" maxLength="100" gradient="0">
              <x14:cfvo type="autoMin"/>
              <x14:cfvo type="autoMax"/>
              <x14:negativeFillColor rgb="FFFF0000"/>
              <x14:axisColor rgb="FF000000"/>
            </x14:dataBar>
          </x14:cfRule>
          <xm:sqref>AK129:AK133</xm:sqref>
        </x14:conditionalFormatting>
        <x14:conditionalFormatting xmlns:xm="http://schemas.microsoft.com/office/excel/2006/main">
          <x14:cfRule type="dataBar" id="{8CCF5B8D-81EA-4383-AEDA-1CF9AD9659F5}">
            <x14:dataBar minLength="0" maxLength="100" gradient="0">
              <x14:cfvo type="autoMin"/>
              <x14:cfvo type="autoMax"/>
              <x14:negativeFillColor rgb="FFFF0000"/>
              <x14:axisColor rgb="FF000000"/>
            </x14:dataBar>
          </x14:cfRule>
          <xm:sqref>BB136:BB141 BC146:BC149 BH146 BI136:BI137</xm:sqref>
        </x14:conditionalFormatting>
        <x14:conditionalFormatting xmlns:xm="http://schemas.microsoft.com/office/excel/2006/main">
          <x14:cfRule type="dataBar" id="{F46A604D-83CD-48A5-8269-0DFAB6300334}">
            <x14:dataBar minLength="0" maxLength="100" gradient="0">
              <x14:cfvo type="autoMin"/>
              <x14:cfvo type="autoMax"/>
              <x14:negativeFillColor rgb="FFFF0000"/>
              <x14:axisColor rgb="FF000000"/>
            </x14:dataBar>
          </x14:cfRule>
          <xm:sqref>BB86:BB91 BI86 BH96 BC96:BC99</xm:sqref>
        </x14:conditionalFormatting>
        <x14:conditionalFormatting xmlns:xm="http://schemas.microsoft.com/office/excel/2006/main">
          <x14:cfRule type="dataBar" id="{50D0C9A0-E097-4FBF-95D2-8D9372472DE1}">
            <x14:dataBar minLength="0" maxLength="100" gradient="0">
              <x14:cfvo type="autoMin"/>
              <x14:cfvo type="autoMax"/>
              <x14:negativeFillColor rgb="FFFF0000"/>
              <x14:axisColor rgb="FF000000"/>
            </x14:dataBar>
          </x14:cfRule>
          <xm:sqref>S151:T161</xm:sqref>
        </x14:conditionalFormatting>
        <x14:conditionalFormatting xmlns:xm="http://schemas.microsoft.com/office/excel/2006/main">
          <x14:cfRule type="dataBar" id="{C0E3004A-10EC-4F68-938A-A8B563C5A8E3}">
            <x14:dataBar minLength="0" maxLength="100" gradient="0">
              <x14:cfvo type="autoMin"/>
              <x14:cfvo type="autoMax"/>
              <x14:negativeFillColor rgb="FFFF0000"/>
              <x14:axisColor rgb="FF000000"/>
            </x14:dataBar>
          </x14:cfRule>
          <xm:sqref>AK73:AK81 AK83:AK92</xm:sqref>
        </x14:conditionalFormatting>
        <x14:conditionalFormatting xmlns:xm="http://schemas.microsoft.com/office/excel/2006/main">
          <x14:cfRule type="dataBar" id="{25376670-96DF-4EF5-815D-BB69C0843A90}">
            <x14:dataBar minLength="0" maxLength="100" gradient="0">
              <x14:cfvo type="autoMin"/>
              <x14:cfvo type="autoMax"/>
              <x14:negativeFillColor rgb="FFFF0000"/>
              <x14:axisColor rgb="FF000000"/>
            </x14:dataBar>
          </x14:cfRule>
          <xm:sqref>AN73:AN92</xm:sqref>
        </x14:conditionalFormatting>
        <x14:conditionalFormatting xmlns:xm="http://schemas.microsoft.com/office/excel/2006/main">
          <x14:cfRule type="dataBar" id="{C69101CF-7BED-4D52-835A-A4ECE4D54ADF}">
            <x14:dataBar minLength="0" maxLength="100" gradient="0">
              <x14:cfvo type="autoMin"/>
              <x14:cfvo type="autoMax"/>
              <x14:negativeFillColor rgb="FFFF0000"/>
              <x14:axisColor rgb="FF000000"/>
            </x14:dataBar>
          </x14:cfRule>
          <xm:sqref>AQ73:AQ92</xm:sqref>
        </x14:conditionalFormatting>
        <x14:conditionalFormatting xmlns:xm="http://schemas.microsoft.com/office/excel/2006/main">
          <x14:cfRule type="dataBar" id="{BF39B250-1917-49C4-BEE8-7BE9B6125B93}">
            <x14:dataBar minLength="0" maxLength="100" gradient="0">
              <x14:cfvo type="autoMin"/>
              <x14:cfvo type="autoMax"/>
              <x14:negativeFillColor rgb="FFFF0000"/>
              <x14:axisColor rgb="FF000000"/>
            </x14:dataBar>
          </x14:cfRule>
          <xm:sqref>AK82</xm:sqref>
        </x14:conditionalFormatting>
        <x14:conditionalFormatting xmlns:xm="http://schemas.microsoft.com/office/excel/2006/main">
          <x14:cfRule type="dataBar" id="{FC38EF88-ED13-4413-BF45-40972F2268BA}">
            <x14:dataBar minLength="0" maxLength="100" gradient="0">
              <x14:cfvo type="autoMin"/>
              <x14:cfvo type="autoMax"/>
              <x14:negativeFillColor rgb="FFFF0000"/>
              <x14:axisColor rgb="FF000000"/>
            </x14:dataBar>
          </x14:cfRule>
          <xm:sqref>AK73:AK83</xm:sqref>
        </x14:conditionalFormatting>
        <x14:conditionalFormatting xmlns:xm="http://schemas.microsoft.com/office/excel/2006/main">
          <x14:cfRule type="dataBar" id="{4E71E1BB-FE0B-4C87-B920-5ED079439183}">
            <x14:dataBar minLength="0" maxLength="100" gradient="0">
              <x14:cfvo type="autoMin"/>
              <x14:cfvo type="autoMax"/>
              <x14:negativeFillColor rgb="FFFF0000"/>
              <x14:axisColor rgb="FF000000"/>
            </x14:dataBar>
          </x14:cfRule>
          <xm:sqref>AK114</xm:sqref>
        </x14:conditionalFormatting>
        <x14:conditionalFormatting xmlns:xm="http://schemas.microsoft.com/office/excel/2006/main">
          <x14:cfRule type="dataBar" id="{768C3449-3C19-4FF3-A52D-CFF8B86EB49A}">
            <x14:dataBar minLength="0" maxLength="100" gradient="0">
              <x14:cfvo type="autoMin"/>
              <x14:cfvo type="autoMax"/>
              <x14:negativeFillColor rgb="FFFF0000"/>
              <x14:axisColor rgb="FF000000"/>
            </x14:dataBar>
          </x14:cfRule>
          <xm:sqref>AK96:AK103 AK105:AK114</xm:sqref>
        </x14:conditionalFormatting>
        <x14:conditionalFormatting xmlns:xm="http://schemas.microsoft.com/office/excel/2006/main">
          <x14:cfRule type="dataBar" id="{2DF079EB-F123-4CF7-9707-3A6C5881673C}">
            <x14:dataBar minLength="0" maxLength="100" gradient="0">
              <x14:cfvo type="autoMin"/>
              <x14:cfvo type="autoMax"/>
              <x14:negativeFillColor rgb="FFFF0000"/>
              <x14:axisColor rgb="FF000000"/>
            </x14:dataBar>
          </x14:cfRule>
          <xm:sqref>AK104</xm:sqref>
        </x14:conditionalFormatting>
        <x14:conditionalFormatting xmlns:xm="http://schemas.microsoft.com/office/excel/2006/main">
          <x14:cfRule type="dataBar" id="{35926182-5ED2-4F9D-A7F2-62CD5D8048ED}">
            <x14:dataBar minLength="0" maxLength="100" gradient="0">
              <x14:cfvo type="autoMin"/>
              <x14:cfvo type="autoMax"/>
              <x14:negativeFillColor rgb="FFFF0000"/>
              <x14:axisColor rgb="FF000000"/>
            </x14:dataBar>
          </x14:cfRule>
          <xm:sqref>AK104</xm:sqref>
        </x14:conditionalFormatting>
        <x14:conditionalFormatting xmlns:xm="http://schemas.microsoft.com/office/excel/2006/main">
          <x14:cfRule type="dataBar" id="{C836CBE4-4CA6-47BE-AFB0-D529C675D072}">
            <x14:dataBar minLength="0" maxLength="100" gradient="0">
              <x14:cfvo type="autoMin"/>
              <x14:cfvo type="autoMax"/>
              <x14:negativeFillColor rgb="FFFF0000"/>
              <x14:axisColor rgb="FF000000"/>
            </x14:dataBar>
          </x14:cfRule>
          <xm:sqref>AT72:AT78</xm:sqref>
        </x14:conditionalFormatting>
        <x14:conditionalFormatting xmlns:xm="http://schemas.microsoft.com/office/excel/2006/main">
          <x14:cfRule type="dataBar" id="{AFE9EB37-6DC5-4549-9CC5-88BD5AF548B1}">
            <x14:dataBar minLength="0" maxLength="100" gradient="0">
              <x14:cfvo type="autoMin"/>
              <x14:cfvo type="autoMax"/>
              <x14:negativeFillColor rgb="FFFF0000"/>
              <x14:axisColor rgb="FF000000"/>
            </x14:dataBar>
          </x14:cfRule>
          <xm:sqref>AK96:AK104</xm:sqref>
        </x14:conditionalFormatting>
        <x14:conditionalFormatting xmlns:xm="http://schemas.microsoft.com/office/excel/2006/main">
          <x14:cfRule type="dataBar" id="{5223ED5A-329B-413C-A7F1-88B106B4F33D}">
            <x14:dataBar minLength="0" maxLength="100" gradient="0">
              <x14:cfvo type="autoMin"/>
              <x14:cfvo type="autoMax"/>
              <x14:negativeFillColor rgb="FFFF0000"/>
              <x14:axisColor rgb="FF000000"/>
            </x14:dataBar>
          </x14:cfRule>
          <xm:sqref>AK123:AK124</xm:sqref>
        </x14:conditionalFormatting>
        <x14:conditionalFormatting xmlns:xm="http://schemas.microsoft.com/office/excel/2006/main">
          <x14:cfRule type="dataBar" id="{AA71B7D6-226D-47B1-8E41-A2804E3CBBC5}">
            <x14:dataBar minLength="0" maxLength="100" gradient="0">
              <x14:cfvo type="autoMin"/>
              <x14:cfvo type="autoMax"/>
              <x14:negativeFillColor rgb="FFFF0000"/>
              <x14:axisColor rgb="FF000000"/>
            </x14:dataBar>
          </x14:cfRule>
          <xm:sqref>AK118:AK124</xm:sqref>
        </x14:conditionalFormatting>
        <x14:conditionalFormatting xmlns:xm="http://schemas.microsoft.com/office/excel/2006/main">
          <x14:cfRule type="dataBar" id="{27F872DC-0852-426B-8509-BA624E0FCCFB}">
            <x14:dataBar minLength="0" maxLength="100" gradient="0">
              <x14:cfvo type="autoMin"/>
              <x14:cfvo type="autoMax"/>
              <x14:negativeFillColor rgb="FFFF0000"/>
              <x14:axisColor rgb="FF000000"/>
            </x14:dataBar>
          </x14:cfRule>
          <xm:sqref>BI87</xm:sqref>
        </x14:conditionalFormatting>
        <x14:conditionalFormatting xmlns:xm="http://schemas.microsoft.com/office/excel/2006/main">
          <x14:cfRule type="dataBar" id="{B616BBEC-A2C7-447D-8018-C42081D5BAEE}">
            <x14:dataBar minLength="0" maxLength="100" gradient="0">
              <x14:cfvo type="autoMin"/>
              <x14:cfvo type="autoMax"/>
              <x14:negativeFillColor rgb="FFFF0000"/>
              <x14:axisColor rgb="FF000000"/>
            </x14:dataBar>
          </x14:cfRule>
          <xm:sqref>P206:P217</xm:sqref>
        </x14:conditionalFormatting>
        <x14:conditionalFormatting xmlns:xm="http://schemas.microsoft.com/office/excel/2006/main">
          <x14:cfRule type="dataBar" id="{9805787B-53A3-47D3-9E07-2D7578A69AE3}">
            <x14:dataBar minLength="0" maxLength="100" gradient="0">
              <x14:cfvo type="autoMin"/>
              <x14:cfvo type="autoMax"/>
              <x14:negativeFillColor rgb="FFFF0000"/>
              <x14:axisColor rgb="FF000000"/>
            </x14:dataBar>
          </x14:cfRule>
          <xm:sqref>R206:R217</xm:sqref>
        </x14:conditionalFormatting>
        <x14:conditionalFormatting xmlns:xm="http://schemas.microsoft.com/office/excel/2006/main">
          <x14:cfRule type="dataBar" id="{D4CC2CF9-7103-4258-94E5-F0ED2C570B6C}">
            <x14:dataBar minLength="0" maxLength="100" gradient="0">
              <x14:cfvo type="autoMin"/>
              <x14:cfvo type="autoMax"/>
              <x14:negativeFillColor rgb="FFFF0000"/>
              <x14:axisColor rgb="FF000000"/>
            </x14:dataBar>
          </x14:cfRule>
          <xm:sqref>BF207:BF216</xm:sqref>
        </x14:conditionalFormatting>
        <x14:conditionalFormatting xmlns:xm="http://schemas.microsoft.com/office/excel/2006/main">
          <x14:cfRule type="dataBar" id="{87034540-FEFF-4F1B-98BB-932FFD977DF7}">
            <x14:dataBar minLength="0" maxLength="100" gradient="0">
              <x14:cfvo type="autoMin"/>
              <x14:cfvo type="autoMax"/>
              <x14:negativeFillColor rgb="FFFF0000"/>
              <x14:axisColor rgb="FF000000"/>
            </x14:dataBar>
          </x14:cfRule>
          <xm:sqref>BF206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22</vt:i4>
      </vt:variant>
    </vt:vector>
  </HeadingPairs>
  <TitlesOfParts>
    <vt:vector size="23" baseType="lpstr">
      <vt:lpstr>bb</vt:lpstr>
      <vt:lpstr>depthbelow</vt:lpstr>
      <vt:lpstr>financing</vt:lpstr>
      <vt:lpstr>floorarea</vt:lpstr>
      <vt:lpstr>glossary</vt:lpstr>
      <vt:lpstr>heightabove</vt:lpstr>
      <vt:lpstr>heightbelow</vt:lpstr>
      <vt:lpstr>input</vt:lpstr>
      <vt:lpstr>length</vt:lpstr>
      <vt:lpstr>modelB</vt:lpstr>
      <vt:lpstr>netzero</vt:lpstr>
      <vt:lpstr>notes</vt:lpstr>
      <vt:lpstr>occupants</vt:lpstr>
      <vt:lpstr>output</vt:lpstr>
      <vt:lpstr>parameters</vt:lpstr>
      <vt:lpstr>bb!Print_Area</vt:lpstr>
      <vt:lpstr>roofarea</vt:lpstr>
      <vt:lpstr>solararea</vt:lpstr>
      <vt:lpstr>tfa</vt:lpstr>
      <vt:lpstr>top</vt:lpstr>
      <vt:lpstr>units</vt:lpstr>
      <vt:lpstr>volume</vt:lpstr>
      <vt:lpstr>width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Nemeth</dc:creator>
  <cp:keywords/>
  <dc:description/>
  <cp:lastModifiedBy>Michael Nemeth</cp:lastModifiedBy>
  <cp:revision/>
  <cp:lastPrinted>2021-09-06T15:19:45Z</cp:lastPrinted>
  <dcterms:created xsi:type="dcterms:W3CDTF">2020-10-02T04:48:38Z</dcterms:created>
  <dcterms:modified xsi:type="dcterms:W3CDTF">2022-09-12T16:47:58Z</dcterms:modified>
  <cp:category/>
  <cp:contentStatus/>
</cp:coreProperties>
</file>